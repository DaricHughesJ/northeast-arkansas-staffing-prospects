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284a37e13742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31d1ba39e8c41f5"/>
    <x:sheet xmlns:r="http://schemas.openxmlformats.org/officeDocument/2006/relationships" name="Employer Leads" sheetId="2" r:id="Rf04d56c125c64d51"/>
    <x:sheet xmlns:r="http://schemas.openxmlformats.org/officeDocument/2006/relationships" name="Rate Model" sheetId="3" r:id="R10859c51b9e74dcc"/>
    <x:sheet xmlns:r="http://schemas.openxmlformats.org/officeDocument/2006/relationships" name="Sources" sheetId="4" r:id="Rfb2edb2a3f1a4a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$0.00"/>
    <x:numFmt numFmtId="202" formatCode="0.0%"/>
    <x:numFmt numFmtId="203" formatCode="0.0"/>
  </x:numFmts>
  <x:fonts count="11">
    <x:font>
      <x:sz val="11"/>
      <x:name val="Carlito"/>
    </x:font>
    <x:font>
      <x:b/>
      <x:sz val="16"/>
      <x:color rgb="FF17324D"/>
      <x:name val="Aptos Display"/>
    </x:font>
    <x:font>
      <x:i/>
      <x:sz val="10"/>
      <x:color rgb="FF627182"/>
      <x:name val="Aptos"/>
    </x:font>
    <x:font>
      <x:b/>
      <x:sz val="10"/>
      <x:color rgb="FFFFFFFF"/>
      <x:name val="Aptos"/>
    </x:font>
    <x:font>
      <x:sz val="10"/>
      <x:color rgb="FF23313F"/>
      <x:name val="Aptos"/>
    </x:font>
    <x:font>
      <x:b/>
      <x:sz val="10"/>
      <x:color rgb="FF17324D"/>
      <x:name val="Aptos"/>
    </x:font>
    <x:font>
      <x:sz val="9"/>
      <x:color rgb="FF23313F"/>
      <x:name val="Aptos"/>
    </x:font>
    <x:font>
      <x:b/>
      <x:sz val="9"/>
      <x:color rgb="FF23313F"/>
      <x:name val="Aptos"/>
    </x:font>
    <x:font>
      <x:b/>
      <x:sz val="9"/>
      <x:color rgb="FFFFFFFF"/>
      <x:name val="Aptos"/>
    </x:font>
    <x:font>
      <x:b/>
      <x:sz val="15"/>
      <x:color rgb="FF17324D"/>
      <x:name val="Aptos Display"/>
    </x:font>
    <x:font>
      <x:i/>
      <x:sz val="9"/>
      <x:color rgb="FF627182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20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horizontal="center" vertical="top"/>
    </x:xf>
    <x:xf numFmtId="0" fontId="6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202" fontId="4" fillId="4" borderId="0" xfId="0" applyNumberFormat="1" applyFont="1" applyFill="1" applyBorder="1" applyAlignment="1">
      <x:alignment vertical="center"/>
    </x:xf>
    <x:xf numFmtId="203" fontId="4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0" fillId="3" borderId="0" xfId="0" applyNumberFormat="1" applyFont="1" applyFill="1" applyBorder="1"/>
    <x:xf numFmtId="201" fontId="4" fillId="3" borderId="0" xfId="0" applyNumberFormat="1" applyFont="1" applyFill="1" applyBorder="1"/>
    <x:xf numFmtId="201" fontId="4" fillId="3" borderId="0" xfId="0" applyNumberFormat="1" applyFont="1" applyFill="1" applyBorder="1" applyAlignment="1">
      <x:alignment wrapText="1"/>
    </x:xf>
    <x:xf numFmtId="201" fontId="4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290c8b66c9431a" /><Relationship Type="http://schemas.openxmlformats.org/officeDocument/2006/relationships/theme" Target="/xl/theme/theme1.xml" Id="Rc6e66f69be8249ba" /><Relationship Type="http://schemas.openxmlformats.org/officeDocument/2006/relationships/sharedStrings" Target="/xl/sharedStrings.xml" Id="Rb0d61c73787a4a4a" /><Relationship Type="http://schemas.openxmlformats.org/officeDocument/2006/relationships/worksheet" Target="/xl/worksheets/sheet1.xml" Id="Re31d1ba39e8c41f5" /><Relationship Type="http://schemas.openxmlformats.org/officeDocument/2006/relationships/worksheet" Target="/xl/worksheets/sheet2.xml" Id="Rf04d56c125c64d51" /><Relationship Type="http://schemas.openxmlformats.org/officeDocument/2006/relationships/worksheet" Target="/xl/worksheets/sheet3.xml" Id="R10859c51b9e74dcc" /><Relationship Type="http://schemas.openxmlformats.org/officeDocument/2006/relationships/worksheet" Target="/xl/worksheets/sheet4.xml" Id="Rfb2edb2a3f1a4a42" /></Relationships>
</file>

<file path=xl/tables/table1.xml><?xml version="1.0" encoding="utf-8"?>
<x:table xmlns:x="http://schemas.openxmlformats.org/spreadsheetml/2006/main" id="1" name="EmployerProspects" displayName="EmployerProspects" ref="A1:W58" headerRowCount="1" totalsRowCount="0" totalsRowShown="0">
  <x:autoFilter ref="A1:W58"/>
  <x:tableColumns count="23">
    <x:tableColumn id="1" name="Business"/>
    <x:tableColumn id="2" name="Market"/>
    <x:tableColumn id="3" name="Industry"/>
    <x:tableColumn id="4" name="Priority"/>
    <x:tableColumn id="5" name="Priority rank"/>
    <x:tableColumn id="6" name="Public employment signal (checked 2026-10-12)"/>
    <x:tableColumn id="7" name="Potential role fit — hypothesis"/>
    <x:tableColumn id="8" name="Evidence / signal detail"/>
    <x:tableColumn id="9" name="Why this is worth qualifying"/>
    <x:tableColumn id="10" name="Contact role to ask for"/>
    <x:tableColumn id="11" name="Public main phone"/>
    <x:tableColumn id="12" name="Public location/address"/>
    <x:tableColumn id="13" name="Published scale evidence"/>
    <x:tableColumn id="14" name="Source IDs"/>
    <x:tableColumn id="15" name="Source links"/>
    <x:tableColumn id="16" name="Evidence caveat"/>
    <x:tableColumn id="17" name="Personalized opening question"/>
    <x:tableColumn id="18" name="Recommended next action"/>
    <x:tableColumn id="19" name="Pipeline status"/>
    <x:tableColumn id="20" name="Last contact"/>
    <x:tableColumn id="21" name="Next follow-up"/>
    <x:tableColumn id="22" name="Agency capability fit confirmed?"/>
    <x:tableColumn id="2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Register" displayName="SourceRegister" ref="A1:E16" headerRowCount="1" totalsRowCount="0" totalsRowShown="0">
  <x:tableColumns count="5">
    <x:tableColumn id="1" name="Source ID"/>
    <x:tableColumn id="2" name="Source title"/>
    <x:tableColumn id="3" name="URL"/>
    <x:tableColumn id="4" name="Research note / limitation"/>
    <x:tableColumn id="5" name="Check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b9ef38462e45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3c6a7c5062a45e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9" hidden="0" customWidth="1"/>
    <x:col min="2" max="2" width="13" hidden="0" customWidth="1"/>
    <x:col min="3" max="3" width="3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16" t="str">
        <x:v>Temporary Staffing — Employer Prospect Pipeline</x:v>
      </x:c>
      <x:c r="B1" s="16"/>
      <x:c r="C1" s="16"/>
      <x:c r="D1" s="16"/>
      <x:c r="E1" s="16"/>
      <x:c r="F1" s="16"/>
      <x:c r="G1" s="16"/>
      <x:c r="H1" s="16"/>
    </x:row>
    <x:row r="2">
      <x:c r="A2" s="17" t="str">
        <x:v>Research checked 2026-10-12. Prospect candidates only: public hiring and employer scale do not prove temp-labor demand or outside-agency use.</x:v>
      </x:c>
      <x:c r="B2" s="17"/>
      <x:c r="C2" s="17"/>
      <x:c r="D2" s="17"/>
      <x:c r="E2" s="17"/>
      <x:c r="F2" s="17"/>
      <x:c r="G2" s="17"/>
      <x:c r="H2" s="17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6" t="str">
        <x:v>Pipeline snapshot</x:v>
      </x:c>
      <x:c r="B4" s="6" t="str">
        <x:v>Count</x:v>
      </x:c>
      <x:c r="C4" s="18"/>
      <x:c r="D4" s="11" t="str">
        <x:v>How to use this list</x:v>
      </x:c>
      <x:c r="E4" s="11"/>
      <x:c r="F4" s="11"/>
      <x:c r="G4" s="11"/>
      <x:c r="H4" s="11"/>
    </x:row>
    <x:row r="5" ht="40" customHeight="1">
      <x:c r="A5" s="8" t="str">
        <x:v>Unique employer candidates</x:v>
      </x:c>
      <x:c r="B5" s="9" t="n">
        <x:f>COUNTA('Employer Leads'!$A$2:$A$58)</x:f>
        <x:v>57</x:v>
      </x:c>
      <x:c r="C5" s="18"/>
      <x:c r="D5" s="13" t="str">
        <x:v>1. Confirm the agency’s role types, service area, payroll/employer model, screening, workers’ compensation and safety capacity before making claims.</x:v>
      </x:c>
      <x:c r="E5" s="13"/>
      <x:c r="F5" s="13"/>
      <x:c r="G5" s="13"/>
      <x:c r="H5" s="13"/>
    </x:row>
    <x:row r="6" ht="40" customHeight="1">
      <x:c r="A6" s="8" t="str">
        <x:v>P1 — qualify now</x:v>
      </x:c>
      <x:c r="B6" s="9" t="n">
        <x:f>COUNTIF('Employer Leads'!$D$2:$D$58,"P1")</x:f>
        <x:v>14</x:v>
      </x:c>
      <x:c r="C6" s="18"/>
      <x:c r="D6" s="13" t="str">
        <x:v>2. Start with P1 accounts: their roles appear on a local jobs page, but those listings may be direct hire and may be stale. Verify current status.</x:v>
      </x:c>
      <x:c r="E6" s="13"/>
      <x:c r="F6" s="13"/>
      <x:c r="G6" s="13"/>
      <x:c r="H6" s="13"/>
    </x:row>
    <x:row r="7" ht="40" customHeight="1">
      <x:c r="A7" s="8" t="str">
        <x:v>P2 — targeted / verify</x:v>
      </x:c>
      <x:c r="B7" s="9" t="n">
        <x:f>COUNTIF('Employer Leads'!$D$2:$D$58,"P2")</x:f>
        <x:v>41</x:v>
      </x:c>
      <x:c r="C7" s="18"/>
      <x:c r="D7" s="13" t="str">
        <x:v>3. Ask whether any contingent/temporary need exists, whether a new supplier is allowed, and who owns vendor approval. No business was contacted.</x:v>
      </x:c>
      <x:c r="E7" s="13"/>
      <x:c r="F7" s="13"/>
      <x:c r="G7" s="13"/>
      <x:c r="H7" s="13"/>
    </x:row>
    <x:row r="8" ht="40" customHeight="1">
      <x:c r="A8" s="8" t="str">
        <x:v>P3 — capability-dependent</x:v>
      </x:c>
      <x:c r="B8" s="9" t="n">
        <x:f>COUNTIF('Employer Leads'!$D$2:$D$58,"P3")</x:f>
        <x:v>2</x:v>
      </x:c>
      <x:c r="C8" s="18"/>
      <x:c r="D8" s="13" t="str">
        <x:v>4. Use Rate Model only after entering her real hourly costs and target gross margin. All inputs are intentionally blank; no rates are invented.</x:v>
      </x:c>
      <x:c r="E8" s="13"/>
      <x:c r="F8" s="13"/>
      <x:c r="G8" s="13"/>
      <x:c r="H8" s="13"/>
    </x:row>
    <x:row r="9">
      <x:c r="A9" s="8" t="str">
        <x:v>Ranked target accounts</x:v>
      </x:c>
      <x:c r="B9" s="9" t="n">
        <x:f>COUNT('Employer Leads'!$E$2:$E$58)</x:f>
        <x:v>15</x:v>
      </x:c>
      <x:c r="C9" s="18"/>
      <x:c r="D9" s="18"/>
      <x:c r="E9" s="18"/>
      <x:c r="F9" s="18"/>
      <x:c r="G9" s="18"/>
      <x:c r="H9" s="18"/>
    </x:row>
    <x:row r="10">
      <x:c r="A10" s="18"/>
      <x:c r="B10" s="18"/>
      <x:c r="C10" s="18"/>
      <x:c r="D10" s="18"/>
      <x:c r="E10" s="18"/>
      <x:c r="F10" s="18"/>
      <x:c r="G10" s="18"/>
      <x:c r="H10" s="18"/>
    </x:row>
    <x:row r="11">
      <x:c r="A11" s="19" t="str">
        <x:v>Research boundaries</x:v>
      </x:c>
      <x:c r="B11" s="19"/>
      <x:c r="C11" s="19"/>
      <x:c r="D11" s="19"/>
      <x:c r="E11" s="19"/>
      <x:c r="F11" s="19"/>
      <x:c r="G11" s="19"/>
      <x:c r="H11" s="19"/>
    </x:row>
    <x:row r="12" ht="32" customHeight="1">
      <x:c r="A12" s="13" t="str">
        <x:v>“P1” means strongest public role-fit and contact priority, not a confirmed buyer, probability of sale, or proof the company uses staffing firms.</x:v>
      </x:c>
      <x:c r="B12" s="13"/>
      <x:c r="C12" s="13"/>
      <x:c r="D12" s="13"/>
      <x:c r="E12" s="13"/>
      <x:c r="F12" s="13"/>
      <x:c r="G12" s="13"/>
      <x:c r="H12" s="13"/>
    </x:row>
    <x:row r="13" ht="32" customHeight="1">
      <x:c r="A13" s="13" t="str">
        <x:v>Large manufacturers may have formal procurement, safety reviews, and approved-vendor lists. These can be lower-probability/longer-cycle despite high labor intensity.</x:v>
      </x:c>
      <x:c r="B13" s="13"/>
      <x:c r="C13" s="13"/>
      <x:c r="D13" s="13"/>
      <x:c r="E13" s="13"/>
      <x:c r="F13" s="13"/>
      <x:c r="G13" s="13"/>
      <x:c r="H13" s="13"/>
    </x:row>
    <x:row r="14" ht="32" customHeight="1">
      <x:c r="A14" s="13" t="str">
        <x:v>Research is public-source screening as of 2026-10-12. Recheck vacancies, addresses, contact channels, and project status before outreach.</x:v>
      </x:c>
      <x:c r="B14" s="13"/>
      <x:c r="C14" s="13"/>
      <x:c r="D14" s="13"/>
      <x:c r="E14" s="13"/>
      <x:c r="F14" s="13"/>
      <x:c r="G14" s="13"/>
      <x:c r="H14" s="13"/>
    </x:row>
  </x:sheetData>
  <x:mergeCells>
    <x:mergeCell ref="A1:H1"/>
    <x:mergeCell ref="A2:H2"/>
    <x:mergeCell ref="D4:H4"/>
    <x:mergeCell ref="D5:H5"/>
    <x:mergeCell ref="D6:H6"/>
    <x:mergeCell ref="D7:H7"/>
    <x:mergeCell ref="D8:H8"/>
    <x:mergeCell ref="A11:H11"/>
    <x:mergeCell ref="A12:H12"/>
    <x:mergeCell ref="A13:H13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1" hidden="0" customWidth="1"/>
    <x:col min="2" max="2" width="19" hidden="0" customWidth="1"/>
    <x:col min="3" max="3" width="31" hidden="0" customWidth="1"/>
    <x:col min="4" max="4" width="23" hidden="0" customWidth="1"/>
    <x:col min="5" max="5" width="11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34" hidden="0" customWidth="1"/>
    <x:col min="11" max="11" width="28" hidden="0" customWidth="1"/>
    <x:col min="12" max="12" width="41" hidden="0" customWidth="1"/>
    <x:col min="13" max="13" width="36" hidden="0" customWidth="1"/>
    <x:col min="14" max="14" width="18" hidden="0" customWidth="1"/>
    <x:col min="15" max="15" width="54" hidden="0" customWidth="1"/>
    <x:col min="16" max="16" width="49" hidden="0" customWidth="1"/>
    <x:col min="17" max="17" width="49" hidden="0" customWidth="1"/>
    <x:col min="18" max="18" width="49" hidden="0" customWidth="1"/>
    <x:col min="19" max="19" width="19" hidden="0" customWidth="1"/>
    <x:col min="20" max="20" width="17" hidden="0" customWidth="1"/>
    <x:col min="21" max="21" width="17" hidden="0" customWidth="1"/>
    <x:col min="22" max="22" width="24" hidden="0" customWidth="1"/>
    <x:col min="23" max="23" width="36" hidden="0" customWidth="1"/>
  </x:cols>
  <x:sheetData>
    <x:row r="1" ht="48" customHeight="1">
      <x:c r="A1" s="32" t="str">
        <x:v>Business</x:v>
      </x:c>
      <x:c r="B1" s="32" t="str">
        <x:v>Market</x:v>
      </x:c>
      <x:c r="C1" s="32" t="str">
        <x:v>Industry</x:v>
      </x:c>
      <x:c r="D1" s="32" t="str">
        <x:v>Priority</x:v>
      </x:c>
      <x:c r="E1" s="32" t="str">
        <x:v>Priority rank</x:v>
      </x:c>
      <x:c r="F1" s="32" t="str">
        <x:v>Public employment signal (checked 2026-10-12)</x:v>
      </x:c>
      <x:c r="G1" s="32" t="str">
        <x:v>Potential role fit — hypothesis</x:v>
      </x:c>
      <x:c r="H1" s="32" t="str">
        <x:v>Evidence / signal detail</x:v>
      </x:c>
      <x:c r="I1" s="32" t="str">
        <x:v>Why this is worth qualifying</x:v>
      </x:c>
      <x:c r="J1" s="32" t="str">
        <x:v>Contact role to ask for</x:v>
      </x:c>
      <x:c r="K1" s="32" t="str">
        <x:v>Public main phone</x:v>
      </x:c>
      <x:c r="L1" s="32" t="str">
        <x:v>Public location/address</x:v>
      </x:c>
      <x:c r="M1" s="32" t="str">
        <x:v>Published scale evidence</x:v>
      </x:c>
      <x:c r="N1" s="32" t="str">
        <x:v>Source IDs</x:v>
      </x:c>
      <x:c r="O1" s="32" t="str">
        <x:v>Source links</x:v>
      </x:c>
      <x:c r="P1" s="32" t="str">
        <x:v>Evidence caveat</x:v>
      </x:c>
      <x:c r="Q1" s="32" t="str">
        <x:v>Personalized opening question</x:v>
      </x:c>
      <x:c r="R1" s="32" t="str">
        <x:v>Recommended next action</x:v>
      </x:c>
      <x:c r="S1" s="32" t="str">
        <x:v>Pipeline status</x:v>
      </x:c>
      <x:c r="T1" s="32" t="str">
        <x:v>Last contact</x:v>
      </x:c>
      <x:c r="U1" s="32" t="str">
        <x:v>Next follow-up</x:v>
      </x:c>
      <x:c r="V1" s="32" t="str">
        <x:v>Agency capability fit confirmed?</x:v>
      </x:c>
      <x:c r="W1" s="32" t="str">
        <x:v>Notes</x:v>
      </x:c>
    </x:row>
    <x:row r="2" ht="96" customHeight="1">
      <x:c r="A2" s="33" t="str">
        <x:v>ARCOT Industrial Manufacturing, LLC</x:v>
      </x:c>
      <x:c r="B2" s="33" t="str">
        <x:v>Paragould</x:v>
      </x:c>
      <x:c r="C2" s="33" t="str">
        <x:v>Machining and fabrication</x:v>
      </x:c>
      <x:c r="D2" s="34" t="str">
        <x:v>P1</x:v>
      </x:c>
      <x:c r="E2" s="35" t="n">
        <x:v>1</x:v>
      </x:c>
      <x:c r="F2" s="36" t="str">
        <x:v>Paragould Jobs lists Fiber Laser Operator.</x:v>
      </x:c>
      <x:c r="G2" s="36" t="str">
        <x:v>Fiber-laser/operator support; only if the agency can recruit for the required machine skills and safety orientation.</x:v>
      </x:c>
      <x:c r="H2" s="36" t="str">
        <x:v>Paragould Jobs lists Fiber Laser Operator.</x:v>
      </x:c>
      <x:c r="I2" s="36" t="str">
        <x:v>Role appears in public local/employer hiring information; verify whether temporary staffing would solve any actual need.</x:v>
      </x:c>
      <x:c r="J2" s="33" t="str">
        <x:v>HR / plant manager / operations manager responsible for contingent labor</x:v>
      </x:c>
      <x:c r="K2" s="33" t="str">
        <x:v>870-239-3449</x:v>
      </x:c>
      <x:c r="L2" s="33" t="str">
        <x:v>405 N. Pruett, Paragould, AR 72450</x:v>
      </x:c>
      <x:c r="M2" s="33" t="str">
        <x:v>Not published in cited sources.</x:v>
      </x:c>
      <x:c r="N2" s="33" t="str">
        <x:v>PJOBS, PDIR</x:v>
      </x:c>
      <x:c r="O2" s="36" t="str">
        <x:v>https://www.paragouldcityar.gov/398/Paragould-Jobs
https://www.paragouldcityar.gov/343/Manufacturing-Directory</x:v>
      </x:c>
      <x:c r="P2" s="36" t="str">
        <x:v>City listing is a direct-hire vacancy signal, not proof of temporary need or vendor access.</x:v>
      </x:c>
      <x:c r="Q2" s="36" t="str">
        <x:v>I saw the local listing for a Fiber Laser Operator. Do you ever use temporary labor for coverage or production peaks, or is this role direct-hire only?</x:v>
      </x:c>
      <x:c r="R2" s="36" t="str">
        <x:v>Call the published main line; ask who owns plant staffing/vendor onboarding and whether any temporary labor need exists.</x:v>
      </x:c>
      <x:c r="S2" s="33" t="str">
        <x:v>Not contacted</x:v>
      </x:c>
      <x:c r="T2" s="33" t="str"/>
      <x:c r="U2" s="33" t="str"/>
      <x:c r="V2" s="33" t="str"/>
      <x:c r="W2" s="33" t="str"/>
    </x:row>
    <x:row r="3" ht="96" customHeight="1">
      <x:c r="A3" s="33" t="str">
        <x:v>Fabco Machine Corporation (FABCO)</x:v>
      </x:c>
      <x:c r="B3" s="33" t="str">
        <x:v>Paragould</x:v>
      </x:c>
      <x:c r="C3" s="33" t="str">
        <x:v>Precision machining and fabrication</x:v>
      </x:c>
      <x:c r="D3" s="34" t="str">
        <x:v>P1</x:v>
      </x:c>
      <x:c r="E3" s="35" t="n">
        <x:v>2</x:v>
      </x:c>
      <x:c r="F3" s="36" t="str">
        <x:v>Paragould Jobs lists Machinist and Fabricator Programmer roles.</x:v>
      </x:c>
      <x:c r="G3" s="36" t="str">
        <x:v>Machinists/fabricators if agency has skilled-trades recruiting depth; do not offer unqualified general labor as a substitute.</x:v>
      </x:c>
      <x:c r="H3" s="36" t="str">
        <x:v>Paragould Jobs lists Machinist and Fabricator Programmer roles.</x:v>
      </x:c>
      <x:c r="I3" s="36" t="str">
        <x:v>Role appears in public local/employer hiring information; verify whether temporary staffing would solve any actual need.</x:v>
      </x:c>
      <x:c r="J3" s="33" t="str">
        <x:v>Owner / HR / shop manager / operations manager</x:v>
      </x:c>
      <x:c r="K3" s="33" t="str">
        <x:v>870-586-0743</x:v>
      </x:c>
      <x:c r="L3" s="33" t="str">
        <x:v>1200 Greene 628 Road, Paragould, AR 72450</x:v>
      </x:c>
      <x:c r="M3" s="33" t="str">
        <x:v>Not published in cited sources.</x:v>
      </x:c>
      <x:c r="N3" s="33" t="str">
        <x:v>PJOBS, PDIR</x:v>
      </x:c>
      <x:c r="O3" s="36" t="str">
        <x:v>https://www.paragouldcityar.gov/398/Paragould-Jobs
https://www.paragouldcityar.gov/343/Manufacturing-Directory</x:v>
      </x:c>
      <x:c r="P3" s="36" t="str">
        <x:v>Specialized vacancies may require experience, measurement skills, and shop-specific screening.</x:v>
      </x:c>
      <x:c r="Q3" s="36" t="str">
        <x:v>The Paragould jobs page lists machinist and fabricator-programmer openings. Are there any short-term, project, or temp-to-hire gaps alongside your direct recruiting?</x:v>
      </x:c>
      <x:c r="R3" s="36" t="str">
        <x:v>Call published main line; qualify whether she can source machinists/programmers and whether client accepts a new agency.</x:v>
      </x:c>
      <x:c r="S3" s="33" t="str">
        <x:v>Not contacted</x:v>
      </x:c>
      <x:c r="T3" s="33" t="str"/>
      <x:c r="U3" s="33" t="str"/>
      <x:c r="V3" s="33" t="str"/>
      <x:c r="W3" s="33" t="str"/>
    </x:row>
    <x:row r="4" ht="96" customHeight="1">
      <x:c r="A4" s="33" t="str">
        <x:v>Allen Engineering Corporation</x:v>
      </x:c>
      <x:c r="B4" s="33" t="str">
        <x:v>Paragould</x:v>
      </x:c>
      <x:c r="C4" s="33" t="str">
        <x:v>Concrete and paving equipment manufacturing</x:v>
      </x:c>
      <x:c r="D4" s="34" t="str">
        <x:v>P1</x:v>
      </x:c>
      <x:c r="E4" s="35" t="n">
        <x:v>3</x:v>
      </x:c>
      <x:c r="F4" s="36" t="str">
        <x:v>Paragould Jobs lists Manufacturing Maintenance Technician.</x:v>
      </x:c>
      <x:c r="G4" s="36" t="str">
        <x:v>Maintenance technician only if agency can verify industrial maintenance experience and any required credentials.</x:v>
      </x:c>
      <x:c r="H4" s="36" t="str">
        <x:v>Paragould Jobs lists Manufacturing Maintenance Technician.</x:v>
      </x:c>
      <x:c r="I4" s="36" t="str">
        <x:v>Role appears in public local/employer hiring information; verify whether temporary staffing would solve any actual need.</x:v>
      </x:c>
      <x:c r="J4" s="33" t="str">
        <x:v>HR / plant manager / maintenance leader</x:v>
      </x:c>
      <x:c r="K4" s="33" t="str">
        <x:v>870-236-7751</x:v>
      </x:c>
      <x:c r="L4" s="33" t="str">
        <x:v>819 S. 5th Street, Paragould, AR 72451</x:v>
      </x:c>
      <x:c r="M4" s="33" t="str">
        <x:v>Greene County employer band 100–200 (regional city page); not site headcount.</x:v>
      </x:c>
      <x:c r="N4" s="33" t="str">
        <x:v>PJOBS, PDIR, PLARGE</x:v>
      </x:c>
      <x:c r="O4" s="36" t="str">
        <x:v>https://www.paragouldcityar.gov/398/Paragould-Jobs
https://www.paragouldcityar.gov/343/Manufacturing-Directory
https://www.paragouldcityar.gov/338/Largest-Employers</x:v>
      </x:c>
      <x:c r="P4" s="36" t="str">
        <x:v>Maintenance is safety-sensitive and skilled; confirm exact qualifications and worksite requirements before sourcing.</x:v>
      </x:c>
      <x:c r="Q4" s="36" t="str">
        <x:v>I saw a Manufacturing Maintenance Technician listing in Paragould. Is that a direct-hire-only search, or do you ever use contract or temporary coverage for maintenance work?</x:v>
      </x:c>
      <x:c r="R4" s="36" t="str">
        <x:v>Call main line; ask to route to HR or plant leadership and confirm vendor qualification requirements.</x:v>
      </x:c>
      <x:c r="S4" s="33" t="str">
        <x:v>Not contacted</x:v>
      </x:c>
      <x:c r="T4" s="33" t="str"/>
      <x:c r="U4" s="33" t="str"/>
      <x:c r="V4" s="33" t="str"/>
      <x:c r="W4" s="33" t="str"/>
    </x:row>
    <x:row r="5" ht="96" customHeight="1">
      <x:c r="A5" s="33" t="str">
        <x:v>Cupples Sign Company</x:v>
      </x:c>
      <x:c r="B5" s="33" t="str">
        <x:v>Paragould</x:v>
      </x:c>
      <x:c r="C5" s="33" t="str">
        <x:v>Sign fabrication</x:v>
      </x:c>
      <x:c r="D5" s="34" t="str">
        <x:v>P1</x:v>
      </x:c>
      <x:c r="E5" s="35" t="n">
        <x:v>4</x:v>
      </x:c>
      <x:c r="F5" s="36" t="str">
        <x:v>Paragould Jobs lists Fabricator.</x:v>
      </x:c>
      <x:c r="G5" s="36" t="str">
        <x:v>Fabrication/shop support during workload peaks if the agency can recruit for the required materials and tools.</x:v>
      </x:c>
      <x:c r="H5" s="36" t="str">
        <x:v>Paragould Jobs lists Fabricator.</x:v>
      </x:c>
      <x:c r="I5" s="36" t="str">
        <x:v>Role appears in public local/employer hiring information; verify whether temporary staffing would solve any actual need.</x:v>
      </x:c>
      <x:c r="J5" s="33" t="str">
        <x:v>Owner / shop manager / HR</x:v>
      </x:c>
      <x:c r="K5" s="33" t="str">
        <x:v>Not verified in cited sources.</x:v>
      </x:c>
      <x:c r="L5" s="33" t="str">
        <x:v>Paragould, AR (exact site address not verified in cited sources)</x:v>
      </x:c>
      <x:c r="M5" s="33" t="str">
        <x:v>Not published in cited sources.</x:v>
      </x:c>
      <x:c r="N5" s="33" t="str">
        <x:v>PJOBS</x:v>
      </x:c>
      <x:c r="O5" s="36" t="str">
        <x:v>https://www.paragouldcityar.gov/398/Paragould-Jobs</x:v>
      </x:c>
      <x:c r="P5" s="36" t="str">
        <x:v>Only one fabricator role is visible; size and temp-labor use are unknown.</x:v>
      </x:c>
      <x:c r="Q5" s="36" t="str">
        <x:v>The local jobs page shows a Fabricator opening. Do you ever need short-term production coverage when workload increases, or are you handling hiring entirely in-house?</x:v>
      </x:c>
      <x:c r="R5" s="36" t="str">
        <x:v>Use employer listing on the city page to reach the official application/contact route; verify the correct site and decision-maker.</x:v>
      </x:c>
      <x:c r="S5" s="33" t="str">
        <x:v>Not contacted</x:v>
      </x:c>
      <x:c r="T5" s="33" t="str"/>
      <x:c r="U5" s="33" t="str"/>
      <x:c r="V5" s="33" t="str"/>
      <x:c r="W5" s="33" t="str"/>
    </x:row>
    <x:row r="6" ht="96" customHeight="1">
      <x:c r="A6" s="33" t="str">
        <x:v>Laubach Logistics</x:v>
      </x:c>
      <x:c r="B6" s="33" t="str">
        <x:v>Paragould area</x:v>
      </x:c>
      <x:c r="C6" s="33" t="str">
        <x:v>Logistics and trucking</x:v>
      </x:c>
      <x:c r="D6" s="34" t="str">
        <x:v>P1</x:v>
      </x:c>
      <x:c r="E6" s="35" t="n">
        <x:v>5</x:v>
      </x:c>
      <x:c r="F6" s="36" t="str">
        <x:v>Paragould Jobs lists CDL drivers.</x:v>
      </x:c>
      <x:c r="G6" s="36" t="str">
        <x:v>CDL drivers only if agency is set up for license verification, motor-vehicle checks, insurance/client standards, and safety screening.</x:v>
      </x:c>
      <x:c r="H6" s="36" t="str">
        <x:v>Paragould Jobs lists CDL drivers.</x:v>
      </x:c>
      <x:c r="I6" s="36" t="str">
        <x:v>Role appears in public local/employer hiring information; verify whether temporary staffing would solve any actual need.</x:v>
      </x:c>
      <x:c r="J6" s="33" t="str">
        <x:v>Terminal manager / recruiting / safety / owner</x:v>
      </x:c>
      <x:c r="K6" s="33" t="str">
        <x:v>Not verified in cited sources.</x:v>
      </x:c>
      <x:c r="L6" s="33" t="str">
        <x:v>Paragould-area listing; physical worksite not verified.</x:v>
      </x:c>
      <x:c r="M6" s="33" t="str">
        <x:v>Not published in cited sources.</x:v>
      </x:c>
      <x:c r="N6" s="33" t="str">
        <x:v>PJOBS</x:v>
      </x:c>
      <x:c r="O6" s="36" t="str">
        <x:v>https://www.paragouldcityar.gov/398/Paragould-Jobs</x:v>
      </x:c>
      <x:c r="P6" s="36" t="str">
        <x:v>Commercial driving carries specialized screening, insurance, and safety constraints; do not pitch before capability is confirmed.</x:v>
      </x:c>
      <x:c r="Q6" s="36" t="str">
        <x:v>The local jobs page lists CDL drivers. Are any of those openings tied to leave, seasonal volume, or a temporary route need, and what carrier/vendor checks would an agency have to meet?</x:v>
      </x:c>
      <x:c r="R6" s="36" t="str">
        <x:v>Verify local operating site and agency/client insurance requirements before offering candidates.</x:v>
      </x:c>
      <x:c r="S6" s="33" t="str">
        <x:v>Not contacted</x:v>
      </x:c>
      <x:c r="T6" s="33" t="str"/>
      <x:c r="U6" s="33" t="str"/>
      <x:c r="V6" s="33" t="str"/>
      <x:c r="W6" s="33" t="str"/>
    </x:row>
    <x:row r="7" ht="96" customHeight="1">
      <x:c r="A7" s="33" t="str">
        <x:v>Delta Asphalt</x:v>
      </x:c>
      <x:c r="B7" s="33" t="str">
        <x:v>Paragould / Greene County</x:v>
      </x:c>
      <x:c r="C7" s="33" t="str">
        <x:v>Road construction and paving</x:v>
      </x:c>
      <x:c r="D7" s="34" t="str">
        <x:v>P1</x:v>
      </x:c>
      <x:c r="E7" s="35" t="n">
        <x:v>6</x:v>
      </x:c>
      <x:c r="F7" s="36" t="str">
        <x:v>Paragould Jobs lists paving crew laborer, finish blade operator, heavy-equipment operator, and related roles.</x:v>
      </x:c>
      <x:c r="G7" s="36" t="str">
        <x:v>Seasonal/project crews if agency can handle construction safety, site orientation, and equipment qualifications.</x:v>
      </x:c>
      <x:c r="H7" s="36" t="str">
        <x:v>Paragould Jobs lists paving crew laborer, finish blade operator, heavy-equipment operator, and related roles.</x:v>
      </x:c>
      <x:c r="I7" s="36" t="str">
        <x:v>Role appears in public local/employer hiring information; verify whether temporary staffing would solve any actual need.</x:v>
      </x:c>
      <x:c r="J7" s="33" t="str">
        <x:v>Local operations manager / project manager / HR / safety lead</x:v>
      </x:c>
      <x:c r="K7" s="33" t="str">
        <x:v>Not verified in cited sources.</x:v>
      </x:c>
      <x:c r="L7" s="33" t="str">
        <x:v>Greene County listing; exact worksite varies by project.</x:v>
      </x:c>
      <x:c r="M7" s="33" t="str">
        <x:v>Not published in cited sources.</x:v>
      </x:c>
      <x:c r="N7" s="33" t="str">
        <x:v>PJOBS</x:v>
      </x:c>
      <x:c r="O7" s="36" t="str">
        <x:v>https://www.paragouldcityar.gov/398/Paragould-Jobs</x:v>
      </x:c>
      <x:c r="P7" s="36" t="str">
        <x:v>Project locations, seasonality, equipment certification, and safety controls need to be confirmed; page roles may be direct hire.</x:v>
      </x:c>
      <x:c r="Q7" s="36" t="str">
        <x:v>I saw several paving and operator roles listed locally. Do you ever need temporary crew coverage for a project or seasonal surge, and which qualifications are non-negotiable?</x:v>
      </x:c>
      <x:c r="R7" s="36" t="str">
        <x:v>Verify agency ability to cover mobile worksites, safety coordination, and travel before pursuing.</x:v>
      </x:c>
      <x:c r="S7" s="33" t="str">
        <x:v>Not contacted</x:v>
      </x:c>
      <x:c r="T7" s="33" t="str"/>
      <x:c r="U7" s="33" t="str"/>
      <x:c r="V7" s="33" t="str"/>
      <x:c r="W7" s="33" t="str"/>
    </x:row>
    <x:row r="8" ht="96" customHeight="1">
      <x:c r="A8" s="33" t="str">
        <x:v>Nunn’s Construction</x:v>
      </x:c>
      <x:c r="B8" s="33" t="str">
        <x:v>Paragould / Greene County</x:v>
      </x:c>
      <x:c r="C8" s="33" t="str">
        <x:v>Construction</x:v>
      </x:c>
      <x:c r="D8" s="34" t="str">
        <x:v>P1</x:v>
      </x:c>
      <x:c r="E8" s="35" t="n">
        <x:v>7</x:v>
      </x:c>
      <x:c r="F8" s="36" t="str">
        <x:v>Paragould Jobs lists Construction Worker.</x:v>
      </x:c>
      <x:c r="G8" s="36" t="str">
        <x:v>General construction labor only if agency has appropriate safety, screening, worksite, and insurance processes.</x:v>
      </x:c>
      <x:c r="H8" s="36" t="str">
        <x:v>Paragould Jobs lists Construction Worker.</x:v>
      </x:c>
      <x:c r="I8" s="36" t="str">
        <x:v>Role appears in public local/employer hiring information; verify whether temporary staffing would solve any actual need.</x:v>
      </x:c>
      <x:c r="J8" s="33" t="str">
        <x:v>Owner / project manager / safety lead</x:v>
      </x:c>
      <x:c r="K8" s="33" t="str">
        <x:v>Not verified in cited sources.</x:v>
      </x:c>
      <x:c r="L8" s="33" t="str">
        <x:v>Greene County listing; exact site not verified.</x:v>
      </x:c>
      <x:c r="M8" s="33" t="str">
        <x:v>Not published in cited sources.</x:v>
      </x:c>
      <x:c r="N8" s="33" t="str">
        <x:v>PJOBS</x:v>
      </x:c>
      <x:c r="O8" s="36" t="str">
        <x:v>https://www.paragouldcityar.gov/398/Paragould-Jobs</x:v>
      </x:c>
      <x:c r="P8" s="36" t="str">
        <x:v>Construction roles can involve high hazards and variable job sites; verify insurance and safety responsibilities before quoting.</x:v>
      </x:c>
      <x:c r="Q8" s="36" t="str">
        <x:v>I noticed the local listing for a Construction Worker. Do you ever need short-duration crew coverage on projects, or is your need strictly permanent hiring?</x:v>
      </x:c>
      <x:c r="R8" s="36" t="str">
        <x:v>Ask about worksite hazards, assignment length, required training/PPE, and any contractor-vendor criteria.</x:v>
      </x:c>
      <x:c r="S8" s="33" t="str">
        <x:v>Not contacted</x:v>
      </x:c>
      <x:c r="T8" s="33" t="str"/>
      <x:c r="U8" s="33" t="str"/>
      <x:c r="V8" s="33" t="str"/>
      <x:c r="W8" s="33" t="str"/>
    </x:row>
    <x:row r="9" ht="96" customHeight="1">
      <x:c r="A9" s="33" t="str">
        <x:v>Martin Sprocket &amp; Gear</x:v>
      </x:c>
      <x:c r="B9" s="33" t="str">
        <x:v>Paragould</x:v>
      </x:c>
      <x:c r="C9" s="33" t="str">
        <x:v>Sprockets, gears, and industrial components</x:v>
      </x:c>
      <x:c r="D9" s="34" t="str">
        <x:v>P1</x:v>
      </x:c>
      <x:c r="E9" s="35" t="n">
        <x:v>8</x:v>
      </x:c>
      <x:c r="F9" s="36" t="str">
        <x:v>Paragould Jobs lists CNC Machine Operator, Machine Operator, Powder Press Operator, and Quality Control Inspector.</x:v>
      </x:c>
      <x:c r="G9" s="36" t="str">
        <x:v>Machine operators and quality inspectors if screening can verify safety, measurement, and equipment experience.</x:v>
      </x:c>
      <x:c r="H9" s="36" t="str">
        <x:v>Paragould Jobs lists CNC Machine Operator, Machine Operator, Powder Press Operator, and Quality Control Inspector.</x:v>
      </x:c>
      <x:c r="I9" s="36" t="str">
        <x:v>Role appears in public local/employer hiring information; verify whether temporary staffing would solve any actual need.</x:v>
      </x:c>
      <x:c r="J9" s="33" t="str">
        <x:v>HR / plant manager / operations leader / procurement vendor contact</x:v>
      </x:c>
      <x:c r="K9" s="33" t="str">
        <x:v>870-239-8558</x:v>
      </x:c>
      <x:c r="L9" s="33" t="str">
        <x:v>1205 South 3rd Avenue, Paragould, AR 72450</x:v>
      </x:c>
      <x:c r="M9" s="33" t="str">
        <x:v>Greene County employer band 200–500 (regional city page); not site headcount.</x:v>
      </x:c>
      <x:c r="N9" s="33" t="str">
        <x:v>PJOBS, PDIR, PLARGE</x:v>
      </x:c>
      <x:c r="O9" s="36" t="str">
        <x:v>https://www.paragouldcityar.gov/398/Paragould-Jobs
https://www.paragouldcityar.gov/343/Manufacturing-Directory
https://www.paragouldcityar.gov/338/Largest-Employers</x:v>
      </x:c>
      <x:c r="P9" s="36" t="str">
        <x:v>Multiple listed role families are evidence of recruiting activity only. Larger-company vendor onboarding may be significant.</x:v>
      </x:c>
      <x:c r="Q9" s="36" t="str">
        <x:v>The local listing shows several operator and quality roles. Are there specific shifts or production periods where temporary coverage helps, or are all roles direct hire?</x:v>
      </x:c>
      <x:c r="R9" s="36" t="str">
        <x:v>Ask about contingent-labor policy, vendor onboarding, shifts, screening and bill-rate approval process.</x:v>
      </x:c>
      <x:c r="S9" s="33" t="str">
        <x:v>Not contacted</x:v>
      </x:c>
      <x:c r="T9" s="33" t="str"/>
      <x:c r="U9" s="33" t="str"/>
      <x:c r="V9" s="33" t="str"/>
      <x:c r="W9" s="33" t="str"/>
    </x:row>
    <x:row r="10" ht="96" customHeight="1">
      <x:c r="A10" s="33" t="str">
        <x:v>KNL Holdings, LLC</x:v>
      </x:c>
      <x:c r="B10" s="33" t="str">
        <x:v>Paragould</x:v>
      </x:c>
      <x:c r="C10" s="33" t="str">
        <x:v>Material handling trailers</x:v>
      </x:c>
      <x:c r="D10" s="34" t="str">
        <x:v>P1</x:v>
      </x:c>
      <x:c r="E10" s="35" t="n">
        <x:v>9</x:v>
      </x:c>
      <x:c r="F10" s="36" t="str">
        <x:v>Paragould Jobs lists Final Assemblers and Welders (plus technical roles).</x:v>
      </x:c>
      <x:c r="G10" s="36" t="str">
        <x:v>Assembly and welding only if agency has verified trade-specific skills and can meet site safety requirements.</x:v>
      </x:c>
      <x:c r="H10" s="36" t="str">
        <x:v>Paragould Jobs lists Final Assemblers and Welders (plus technical roles).</x:v>
      </x:c>
      <x:c r="I10" s="36" t="str">
        <x:v>Role appears in public local/employer hiring information; verify whether temporary staffing would solve any actual need.</x:v>
      </x:c>
      <x:c r="J10" s="33" t="str">
        <x:v>HR / operations manager / production manager</x:v>
      </x:c>
      <x:c r="K10" s="33" t="str">
        <x:v>870-236-7753</x:v>
      </x:c>
      <x:c r="L10" s="33" t="str">
        <x:v>603 N. 3rd Avenue, Paragould, AR 72451</x:v>
      </x:c>
      <x:c r="M10" s="33" t="str">
        <x:v>Greene County employer band 100–200; not site headcount.</x:v>
      </x:c>
      <x:c r="N10" s="33" t="str">
        <x:v>PJOBS, PDIR, PLARGE</x:v>
      </x:c>
      <x:c r="O10" s="36" t="str">
        <x:v>https://www.paragouldcityar.gov/398/Paragould-Jobs
https://www.paragouldcityar.gov/343/Manufacturing-Directory
https://www.paragouldcityar.gov/338/Largest-Employers</x:v>
      </x:c>
      <x:c r="P10" s="36" t="str">
        <x:v>Welding assignments require confirmation of process, position, testing, certification, and PPE/site requirements.</x:v>
      </x:c>
      <x:c r="Q10" s="36" t="str">
        <x:v>The public local listing includes final assemblers and welders. Are any staffing needs temporary, project-based, or temp-to-hire, and what weld test or experience would be required?</x:v>
      </x:c>
      <x:c r="R10" s="36" t="str">
        <x:v>Ask which roles are open to agency supply and what skills tests, orientation, and vendor paperwork apply.</x:v>
      </x:c>
      <x:c r="S10" s="33" t="str">
        <x:v>Not contacted</x:v>
      </x:c>
      <x:c r="T10" s="33" t="str"/>
      <x:c r="U10" s="33" t="str"/>
      <x:c r="V10" s="33" t="str"/>
      <x:c r="W10" s="33" t="str"/>
    </x:row>
    <x:row r="11" ht="96" customHeight="1">
      <x:c r="A11" s="33" t="str">
        <x:v>GRT Rubber Technologies</x:v>
      </x:c>
      <x:c r="B11" s="33" t="str">
        <x:v>Paragould</x:v>
      </x:c>
      <x:c r="C11" s="33" t="str">
        <x:v>Rubber conveyor belts and sheet rubber</x:v>
      </x:c>
      <x:c r="D11" s="34" t="str">
        <x:v>P1</x:v>
      </x:c>
      <x:c r="E11" s="35" t="n">
        <x:v>10</x:v>
      </x:c>
      <x:c r="F11" s="36" t="str">
        <x:v>Paragould Jobs lists Inline Operator and several technical/management roles.</x:v>
      </x:c>
      <x:c r="G11" s="36" t="str">
        <x:v>Inline/operator support if agency can recruit and document relevant production experience.</x:v>
      </x:c>
      <x:c r="H11" s="36" t="str">
        <x:v>Paragould Jobs lists Inline Operator and several technical/management roles.</x:v>
      </x:c>
      <x:c r="I11" s="36" t="str">
        <x:v>Role appears in public local/employer hiring information; verify whether temporary staffing would solve any actual need.</x:v>
      </x:c>
      <x:c r="J11" s="33" t="str">
        <x:v>HR / plant manager / production manager</x:v>
      </x:c>
      <x:c r="K11" s="33" t="str">
        <x:v>870-239-4051</x:v>
      </x:c>
      <x:c r="L11" s="33" t="str">
        <x:v>201 Dana Drive, Paragould, AR 72451</x:v>
      </x:c>
      <x:c r="M11" s="33" t="str">
        <x:v>Not published in cited sources.</x:v>
      </x:c>
      <x:c r="N11" s="33" t="str">
        <x:v>PJOBS, PDIR</x:v>
      </x:c>
      <x:c r="O11" s="36" t="str">
        <x:v>https://www.paragouldcityar.gov/398/Paragould-Jobs
https://www.paragouldcityar.gov/343/Manufacturing-Directory</x:v>
      </x:c>
      <x:c r="P11" s="36" t="str">
        <x:v>A vacancy does not establish recurring turnover, agency use, or willingness to onboard a new vendor.</x:v>
      </x:c>
      <x:c r="Q11" s="36" t="str">
        <x:v>I saw the Inline Operator role on the local jobs page. Do you ever use temporary help for coverage or production surges, and what would a reliable agency need to demonstrate?</x:v>
      </x:c>
      <x:c r="R11" s="36" t="str">
        <x:v>Call published line; determine whether need is coverage, peak volume, or direct-hire only.</x:v>
      </x:c>
      <x:c r="S11" s="33" t="str">
        <x:v>Not contacted</x:v>
      </x:c>
      <x:c r="T11" s="33" t="str"/>
      <x:c r="U11" s="33" t="str"/>
      <x:c r="V11" s="33" t="str"/>
      <x:c r="W11" s="33" t="str"/>
    </x:row>
    <x:row r="12" ht="96" customHeight="1">
      <x:c r="A12" s="33" t="str">
        <x:v>Prysmian Group / Prestolite Wire</x:v>
      </x:c>
      <x:c r="B12" s="33" t="str">
        <x:v>Paragould</x:v>
      </x:c>
      <x:c r="C12" s="33" t="str">
        <x:v>Wire and cable manufacturing</x:v>
      </x:c>
      <x:c r="D12" s="34" t="str">
        <x:v>P1</x:v>
      </x:c>
      <x:c r="E12" s="35" t="n">
        <x:v>11</x:v>
      </x:c>
      <x:c r="F12" s="36" t="str">
        <x:v>Paragould Jobs lists Night Shift Machine Operator and Maintenance Operator.</x:v>
      </x:c>
      <x:c r="G12" s="36" t="str">
        <x:v>Machine operators/maintenance only if agency matches shift availability and technical screening needs.</x:v>
      </x:c>
      <x:c r="H12" s="36" t="str">
        <x:v>Paragould Jobs lists Night Shift Machine Operator and Maintenance Operator.</x:v>
      </x:c>
      <x:c r="I12" s="36" t="str">
        <x:v>Role appears in public local/employer hiring information; verify whether temporary staffing would solve any actual need.</x:v>
      </x:c>
      <x:c r="J12" s="33" t="str">
        <x:v>HR / plant manager / procurement / operations</x:v>
      </x:c>
      <x:c r="K12" s="33" t="str">
        <x:v>870-236-8141</x:v>
      </x:c>
      <x:c r="L12" s="33" t="str">
        <x:v>#1 Prestolite Drive, Paragould, AR 72450</x:v>
      </x:c>
      <x:c r="M12" s="33" t="str">
        <x:v>Greene County employer band 200–500 for Prysmian/Prestolite Wire (not local-site headcount).</x:v>
      </x:c>
      <x:c r="N12" s="33" t="str">
        <x:v>PJOBS, PDIR, PLARGE</x:v>
      </x:c>
      <x:c r="O12" s="36" t="str">
        <x:v>https://www.paragouldcityar.gov/398/Paragould-Jobs
https://www.paragouldcityar.gov/343/Manufacturing-Directory
https://www.paragouldcityar.gov/338/Largest-Employers</x:v>
      </x:c>
      <x:c r="P12" s="36" t="str">
        <x:v>Corporate vendor rules and safety-sensitive roles may add onboarding time and cost.</x:v>
      </x:c>
      <x:c r="Q12" s="36" t="str">
        <x:v>The Paragould job list shows a night-shift operator and maintenance role. Are any of your staffing gaps shift coverage or temporary capacity, and how do you approve staffing suppliers?</x:v>
      </x:c>
      <x:c r="R12" s="36" t="str">
        <x:v>Ask for the local HR/plant contact and supplier onboarding steps; confirm shift differential/pay expectations.</x:v>
      </x:c>
      <x:c r="S12" s="33" t="str">
        <x:v>Not contacted</x:v>
      </x:c>
      <x:c r="T12" s="33" t="str"/>
      <x:c r="U12" s="33" t="str"/>
      <x:c r="V12" s="33" t="str"/>
      <x:c r="W12" s="33" t="str"/>
    </x:row>
    <x:row r="13" ht="96" customHeight="1">
      <x:c r="A13" s="33" t="str">
        <x:v>Utility Trailer Manufacturing</x:v>
      </x:c>
      <x:c r="B13" s="33" t="str">
        <x:v>Paragould</x:v>
      </x:c>
      <x:c r="C13" s="33" t="str">
        <x:v>Dry box trailer manufacturing</x:v>
      </x:c>
      <x:c r="D13" s="34" t="str">
        <x:v>P1</x:v>
      </x:c>
      <x:c r="E13" s="35" t="n">
        <x:v>12</x:v>
      </x:c>
      <x:c r="F13" s="36" t="str">
        <x:v>Paragould Jobs lists Fabricator, Assembler, and Welder roles.</x:v>
      </x:c>
      <x:c r="G13" s="36" t="str">
        <x:v>Assembly/fabrication/welding based on the agency’s actual skill-screening and safety capability.</x:v>
      </x:c>
      <x:c r="H13" s="36" t="str">
        <x:v>Paragould Jobs lists Fabricator, Assembler, and Welder roles.</x:v>
      </x:c>
      <x:c r="I13" s="36" t="str">
        <x:v>Role appears in public local/employer hiring information; verify whether temporary staffing would solve any actual need.</x:v>
      </x:c>
      <x:c r="J13" s="33" t="str">
        <x:v>HR / plant manager / production supervisor / vendor management</x:v>
      </x:c>
      <x:c r="K13" s="33" t="str">
        <x:v>870-236-9195</x:v>
      </x:c>
      <x:c r="L13" s="33" t="str">
        <x:v>2921 Highway 49 North, Paragould, AR 72451</x:v>
      </x:c>
      <x:c r="M13" s="33" t="str">
        <x:v>Greene County employer band 700–1,100; not a single-site headcount.</x:v>
      </x:c>
      <x:c r="N13" s="33" t="str">
        <x:v>PJOBS, PDIR, PLARGE</x:v>
      </x:c>
      <x:c r="O13" s="36" t="str">
        <x:v>https://www.paragouldcityar.gov/398/Paragould-Jobs
https://www.paragouldcityar.gov/343/Manufacturing-Directory
https://www.paragouldcityar.gov/338/Largest-Employers</x:v>
      </x:c>
      <x:c r="P13" s="36" t="str">
        <x:v>Large local employer likely has a formal vendor path; verify before spending time on a custom proposal.</x:v>
      </x:c>
      <x:c r="Q13" s="36" t="str">
        <x:v>I saw the local postings for assemblers, fabricators and welders. Does the plant ever use temporary or temp-to-hire labor for any of those shifts, and how can a new supplier qualify?</x:v>
      </x:c>
      <x:c r="R13" s="36" t="str">
        <x:v>First ask whether new agency suppliers are accepted and who owns supplier qualification.</x:v>
      </x:c>
      <x:c r="S13" s="33" t="str">
        <x:v>Not contacted</x:v>
      </x:c>
      <x:c r="T13" s="33" t="str"/>
      <x:c r="U13" s="33" t="str"/>
      <x:c r="V13" s="33" t="str"/>
      <x:c r="W13" s="33" t="str"/>
    </x:row>
    <x:row r="14" ht="96" customHeight="1">
      <x:c r="A14" s="33" t="str">
        <x:v>Anchor Packaging / Georgia-Pacific (Paragould operations)</x:v>
      </x:c>
      <x:c r="B14" s="33" t="str">
        <x:v>Paragould / Marmaduke</x:v>
      </x:c>
      <x:c r="C14" s="33" t="str">
        <x:v>Food packaging manufacturing and distribution</x:v>
      </x:c>
      <x:c r="D14" s="34" t="str">
        <x:v>P1</x:v>
      </x:c>
      <x:c r="E14" s="35" t="n">
        <x:v>13</x:v>
      </x:c>
      <x:c r="F14" s="36" t="str">
        <x:v>Paragould Jobs lists sheetline/extruder operator, material handler, packer, production operator, and quality auditor; local directory lists two production sites and a distribution center.</x:v>
      </x:c>
      <x:c r="G14" s="36" t="str">
        <x:v>Production, packing, and material handling are plausible role families if facility accepts agencies and she can satisfy safety requirements.</x:v>
      </x:c>
      <x:c r="H14" s="36" t="str">
        <x:v>Paragould Jobs lists sheetline/extruder operator, material handler, packer, production operator, and quality auditor; local directory lists two production sites and a distribution center.</x:v>
      </x:c>
      <x:c r="I14" s="36" t="str">
        <x:v>Role appears in public local/employer hiring information; verify whether temporary staffing would solve any actual need.</x:v>
      </x:c>
      <x:c r="J14" s="33" t="str">
        <x:v>Site HR / plant manager / distribution-center operations / vendor management</x:v>
      </x:c>
      <x:c r="K14" s="33" t="str">
        <x:v>870-236-2262 (Paragould production); 870-565-1884 (regional distribution center)</x:v>
      </x:c>
      <x:c r="L14" s="33" t="str">
        <x:v>2211 N. 12th Avenue, Paragould, AR 72450; DC at 1600 Jones Road</x:v>
      </x:c>
      <x:c r="M14" s="33" t="str">
        <x:v>Greene County city page lists Anchor Industries at 700–1,100; name/entity match should be confirmed.</x:v>
      </x:c>
      <x:c r="N14" s="33" t="str">
        <x:v>PJOBS, PDIR, PLARGE</x:v>
      </x:c>
      <x:c r="O14" s="36" t="str">
        <x:v>https://www.paragouldcityar.gov/398/Paragould-Jobs
https://www.paragouldcityar.gov/343/Manufacturing-Directory
https://www.paragouldcityar.gov/338/Largest-Employers</x:v>
      </x:c>
      <x:c r="P14" s="36" t="str">
        <x:v>Multiple locations and changing operator/entity names; confirm the legal hiring entity, location, shift, and supplier process.</x:v>
      </x:c>
      <x:c r="Q14" s="36" t="str">
        <x:v>The local listing shows production, material-handling and packing roles, and the directory lists a regional distribution center. Is there a temporary coverage or peak-volume need at any one site?</x:v>
      </x:c>
      <x:c r="R14" s="36" t="str">
        <x:v>Clarify which facility is hiring, role/shift, whether agency vendors are permitted, and how each site handles safety orientation.</x:v>
      </x:c>
      <x:c r="S14" s="33" t="str">
        <x:v>Not contacted</x:v>
      </x:c>
      <x:c r="T14" s="33" t="str"/>
      <x:c r="U14" s="33" t="str"/>
      <x:c r="V14" s="33" t="str"/>
      <x:c r="W14" s="33" t="str"/>
    </x:row>
    <x:row r="15" ht="96" customHeight="1">
      <x:c r="A15" s="33" t="str">
        <x:v>Greenbrier Rail</x:v>
      </x:c>
      <x:c r="B15" s="33" t="str">
        <x:v>Paragould / Marmaduke</x:v>
      </x:c>
      <x:c r="C15" s="33" t="str">
        <x:v>Hopper and tank railcar manufacturing</x:v>
      </x:c>
      <x:c r="D15" s="34" t="str">
        <x:v>P1</x:v>
      </x:c>
      <x:c r="E15" s="35" t="n">
        <x:v>14</x:v>
      </x:c>
      <x:c r="F15" s="36" t="str">
        <x:v>Paragould Jobs lists Welder 2; local directory confirms Paragould and Marmaduke facilities.</x:v>
      </x:c>
      <x:c r="G15" s="36" t="str">
        <x:v>Experienced welders only if agency can validate process-specific skill and coordinate site safety requirements.</x:v>
      </x:c>
      <x:c r="H15" s="36" t="str">
        <x:v>Paragould Jobs lists Welder 2; local directory confirms Paragould and Marmaduke facilities.</x:v>
      </x:c>
      <x:c r="I15" s="36" t="str">
        <x:v>Role appears in public local/employer hiring information; verify whether temporary staffing would solve any actual need.</x:v>
      </x:c>
      <x:c r="J15" s="33" t="str">
        <x:v>Site HR / welding supervisor / plant manager / procurement</x:v>
      </x:c>
      <x:c r="K15" s="33" t="str">
        <x:v>870-236-6600 (Paragould); 870-597-2224 (Marmaduke)</x:v>
      </x:c>
      <x:c r="L15" s="33" t="str">
        <x:v>901 Jones Road, Paragould; 7755 Highway 34 East, Marmaduke</x:v>
      </x:c>
      <x:c r="M15" s="33" t="str">
        <x:v>Greene County employer band 1,100–1,300; not facility-specific.</x:v>
      </x:c>
      <x:c r="N15" s="33" t="str">
        <x:v>PJOBS, PDIR, PLARGE</x:v>
      </x:c>
      <x:c r="O15" s="36" t="str">
        <x:v>https://www.paragouldcityar.gov/398/Paragould-Jobs
https://www.paragouldcityar.gov/343/Manufacturing-Directory
https://www.paragouldcityar.gov/338/Largest-Employers</x:v>
      </x:c>
      <x:c r="P15" s="36" t="str">
        <x:v>High-hazard industrial work and formal supplier requirements are likely to affect fit, but must be verified. Company careers page’s temporary-employee portal does not prove outside-agency use.</x:v>
      </x:c>
      <x:c r="Q15" s="36" t="str">
        <x:v>The local page lists a Welder 2 role. Does the site ever source temporary welders or short-term project coverage through outside agencies, and what weld test and safety qualifications are required?</x:v>
      </x:c>
      <x:c r="R15" s="36" t="str">
        <x:v>Qualify supplier access and weld/safety competency expectations before recruiting candidates.</x:v>
      </x:c>
      <x:c r="S15" s="33" t="str">
        <x:v>Not contacted</x:v>
      </x:c>
      <x:c r="T15" s="33" t="str"/>
      <x:c r="U15" s="33" t="str"/>
      <x:c r="V15" s="33" t="str"/>
      <x:c r="W15" s="33" t="str"/>
    </x:row>
    <x:row r="16" ht="96" customHeight="1">
      <x:c r="A16" s="33" t="str">
        <x:v>Delta Peanut</x:v>
      </x:c>
      <x:c r="B16" s="33" t="str">
        <x:v>Jonesboro area</x:v>
      </x:c>
      <x:c r="C16" s="33" t="str">
        <x:v>Peanut shelling and processing</x:v>
      </x:c>
      <x:c r="D16" s="34" t="str">
        <x:v>P2</x:v>
      </x:c>
      <x:c r="E16" s="35" t="str"/>
      <x:c r="F16" s="36" t="str">
        <x:v>Jonesboro Unlimited lists 150 area employees; historical major-employer/expansion listing, but no current vacancy independently verified.</x:v>
      </x:c>
      <x:c r="G16" s="36" t="str">
        <x:v>Seasonal processing, packaging, or warehouse coverage is a hypothesis; ask about harvest/production calendar and current supply chain.</x:v>
      </x:c>
      <x:c r="H16" s="36" t="str">
        <x:v>Jonesboro Unlimited lists 150 area employees; historical major-employer/expansion listing, but no current vacancy independently verified.</x:v>
      </x:c>
      <x:c r="I16" s="36" t="str">
        <x:v>Industrial/distribution profile and local scale create a reason to ask; no present need has been verified.</x:v>
      </x:c>
      <x:c r="J16" s="33" t="str">
        <x:v>Plant HR / operations / seasonal workforce coordinator</x:v>
      </x:c>
      <x:c r="K16" s="33" t="str">
        <x:v>Not verified in cited sources.</x:v>
      </x:c>
      <x:c r="L16" s="33" t="str">
        <x:v>Jonesboro MSA; exact worksite/contact not verified in cited sources.</x:v>
      </x:c>
      <x:c r="M16" s="33" t="str">
        <x:v>150 reported in Jonesboro MSA guide; period/site scope should be verified.</x:v>
      </x:c>
      <x:c r="N16" s="33" t="str">
        <x:v>JEMP</x:v>
      </x:c>
      <x:c r="O16" s="36" t="str">
        <x:v>https://www.jonesborounlimited.com/major-employers-existing-industries</x:v>
      </x:c>
      <x:c r="P16" s="36" t="str">
        <x:v>No current opening or temp-agency use verified; treat as a calendar-based qualification call, not a hot lead.</x:v>
      </x:c>
      <x:c r="Q16" s="36" t="str">
        <x:v>Your company is listed among the region’s food-processing employers. How does seasonal volume affect staffing, and do you use outside suppliers for short-term production coverage?</x:v>
      </x:c>
      <x:c r="R16" s="36" t="str">
        <x:v>Check harvest/production calendar and local worksite before scheduling a discovery call.</x:v>
      </x:c>
      <x:c r="S16" s="33" t="str">
        <x:v>Not contacted</x:v>
      </x:c>
      <x:c r="T16" s="33" t="str"/>
      <x:c r="U16" s="33" t="str"/>
      <x:c r="V16" s="33" t="str"/>
      <x:c r="W16" s="33" t="str"/>
    </x:row>
    <x:row r="17" ht="96" customHeight="1">
      <x:c r="A17" s="33" t="str">
        <x:v>Unilever (Jonesboro)</x:v>
      </x:c>
      <x:c r="B17" s="33" t="str">
        <x:v>Jonesboro</x:v>
      </x:c>
      <x:c r="C17" s="33" t="str">
        <x:v>Personal-care product manufacturing</x:v>
      </x:c>
      <x:c r="D17" s="34" t="str">
        <x:v>P2</x:v>
      </x:c>
      <x:c r="E17" s="35" t="n">
        <x:v>15</x:v>
      </x:c>
      <x:c r="F17" s="36" t="str">
        <x:v>Employer career page listed Machine Operator full-time role posted 2026-09-30 through 2026-10-15, including second/third shifts; direct-hire posting.</x:v>
      </x:c>
      <x:c r="G17" s="36" t="str">
        <x:v>Experienced machine operators and maintenance support if agency meets vendor rules, technical checks, and shift requirements.</x:v>
      </x:c>
      <x:c r="H17" s="36" t="str">
        <x:v>Employer career page listed Machine Operator full-time role posted 2026-09-30 through 2026-10-15, including second/third shifts; direct-hire posting.</x:v>
      </x:c>
      <x:c r="I17" s="36" t="str">
        <x:v>Role appears in public local/employer hiring information; verify whether temporary staffing would solve any actual need.</x:v>
      </x:c>
      <x:c r="J17" s="33" t="str">
        <x:v>Plant HR / contingent-labor or procurement lead / operations</x:v>
      </x:c>
      <x:c r="K17" s="33" t="str">
        <x:v>Not verified in cited sources.</x:v>
      </x:c>
      <x:c r="L17" s="33" t="str">
        <x:v>Jonesboro, AR (facility page); exact street address not verified here.</x:v>
      </x:c>
      <x:c r="M17" s="33" t="str">
        <x:v>392 in Jonesboro MSA 2025 guide; not a current site headcount.</x:v>
      </x:c>
      <x:c r="N17" s="33" t="str">
        <x:v>UNILEVER, JEMP</x:v>
      </x:c>
      <x:c r="O17" s="36" t="str">
        <x:v>https://careers.unilever.com/en/job/jonesboro/machine-operator/34155/101379502736
https://www.jonesborounlimited.com/major-employers-existing-industries</x:v>
      </x:c>
      <x:c r="P17" s="36" t="str">
        <x:v>Posting explicitly describes full-time direct hire. Its temporary-labor need is unverified; large-company vendor entry may be difficult.</x:v>
      </x:c>
      <x:c r="Q17" s="36" t="str">
        <x:v>I saw the Jonesboro Machine Operator posting and its second/third-shift schedules. Are those needs strictly direct hire, or does the plant also use staffing suppliers for coverage or ramp-ups?</x:v>
      </x:c>
      <x:c r="R17" s="36" t="str">
        <x:v>Prioritize only after confirming the listing is active and that the plant can accept a new staffing supplier.</x:v>
      </x:c>
      <x:c r="S17" s="33" t="str">
        <x:v>Not contacted</x:v>
      </x:c>
      <x:c r="T17" s="33" t="str"/>
      <x:c r="U17" s="33" t="str"/>
      <x:c r="V17" s="33" t="str"/>
      <x:c r="W17" s="33" t="str"/>
    </x:row>
    <x:row r="18" ht="96" customHeight="1">
      <x:c r="A18" s="33" t="str">
        <x:v>Nestlé Prepared Foods (Jonesboro)</x:v>
      </x:c>
      <x:c r="B18" s="33" t="str">
        <x:v>Jonesboro</x:v>
      </x:c>
      <x:c r="C18" s="33" t="str">
        <x:v>Frozen food manufacturing and temperature-controlled supply chain</x:v>
      </x:c>
      <x:c r="D18" s="34" t="str">
        <x:v>P2</x:v>
      </x:c>
      <x:c r="E18" s="35" t="str"/>
      <x:c r="F18" s="36" t="str">
        <x:v>Official Jonesboro location page shows local openings (including Controls Technician, Electrical &amp; Automation Engineer, and other roles at research check).</x:v>
      </x:c>
      <x:c r="G18" s="36" t="str">
        <x:v>Technical maintenance/controls roles only if agency can source credentialed, experienced candidates; do not infer general production demand from skilled openings.</x:v>
      </x:c>
      <x:c r="H18" s="36" t="str">
        <x:v>Official Jonesboro location page shows local openings (including Controls Technician, Electrical &amp; Automation Engineer, and other roles at research check).</x:v>
      </x:c>
      <x:c r="I18" s="36" t="str">
        <x:v>Industrial/distribution profile and local scale create a reason to ask; no present need has been verified.</x:v>
      </x:c>
      <x:c r="J18" s="33" t="str">
        <x:v>Plant HR / maintenance recruiting / procurement</x:v>
      </x:c>
      <x:c r="K18" s="33" t="str">
        <x:v>Not verified in cited sources.</x:v>
      </x:c>
      <x:c r="L18" s="33" t="str">
        <x:v>Jonesboro, AR (official location page); exact street address not included here.</x:v>
      </x:c>
      <x:c r="M18" s="33" t="str">
        <x:v>700 in Jonesboro MSA guide; source is regional/guide figure.</x:v>
      </x:c>
      <x:c r="N18" s="33" t="str">
        <x:v>NESTLE, JEMP</x:v>
      </x:c>
      <x:c r="O18" s="36" t="str">
        <x:v>https://www.nestlejobs.com/locations/jonesboro
https://www.jonesborounlimited.com/major-employers-existing-industries</x:v>
      </x:c>
      <x:c r="P18" s="36" t="str">
        <x:v>Current openings seen are specialized and full-time. Adjacent Millard warehouse operator is a separate company and must be verified as a separate account.</x:v>
      </x:c>
      <x:c r="Q18" s="36" t="str">
        <x:v>The Jonesboro careers page currently shows technical plant openings. Does the facility use staffing partners for skilled coverage or project work, or are all roles recruited directly?</x:v>
      </x:c>
      <x:c r="R18" s="36" t="str">
        <x:v>Confirm role requirements, vendor policy and whether client would consider the agency’s candidate pool.</x:v>
      </x:c>
      <x:c r="S18" s="33" t="str">
        <x:v>Not contacted</x:v>
      </x:c>
      <x:c r="T18" s="33" t="str"/>
      <x:c r="U18" s="33" t="str"/>
      <x:c r="V18" s="33" t="str"/>
      <x:c r="W18" s="33" t="str"/>
    </x:row>
    <x:row r="19" ht="96" customHeight="1">
      <x:c r="A19" s="33" t="str">
        <x:v>Frito-Lay (Jonesboro)</x:v>
      </x:c>
      <x:c r="B19" s="33" t="str">
        <x:v>Jonesboro</x:v>
      </x:c>
      <x:c r="C19" s="33" t="str">
        <x:v>Snack-food production and distribution</x:v>
      </x:c>
      <x:c r="D19" s="34" t="str">
        <x:v>P2</x:v>
      </x:c>
      <x:c r="E19" s="35" t="str"/>
      <x:c r="F19" s="36" t="str">
        <x:v>Official PepsiCo job listing previously identified for General Utility Technician in Jonesboro; live page access was blocked during current check.</x:v>
      </x:c>
      <x:c r="G19" s="36" t="str">
        <x:v>Production/warehouse support may fit if there are hourly roles and supplier access; skilled technician roles require capability match.</x:v>
      </x:c>
      <x:c r="H19" s="36" t="str">
        <x:v>Official PepsiCo job listing previously identified for General Utility Technician in Jonesboro; live page access was blocked during current check.</x:v>
      </x:c>
      <x:c r="I19" s="36" t="str">
        <x:v>Industrial/distribution profile and local scale create a reason to ask; no present need has been verified.</x:v>
      </x:c>
      <x:c r="J19" s="33" t="str">
        <x:v>Plant HR / talent acquisition / supplier management</x:v>
      </x:c>
      <x:c r="K19" s="33" t="str">
        <x:v>Not verified in cited sources.</x:v>
      </x:c>
      <x:c r="L19" s="33" t="str">
        <x:v>Jonesboro, AR; exact site address not verified here.</x:v>
      </x:c>
      <x:c r="M19" s="33" t="str">
        <x:v>1,075 in Jonesboro MSA guide; guide figure, not facility-specific current headcount.</x:v>
      </x:c>
      <x:c r="N19" s="33" t="str">
        <x:v>FRITO, JEMP</x:v>
      </x:c>
      <x:c r="O19" s="36" t="str">
        <x:v>https://www.pepsicojobs.com/main/jobs/P1-7158051-1?lang=en-US
https://www.jonesborounlimited.com/major-employers-existing-industries</x:v>
      </x:c>
      <x:c r="P19" s="36" t="str">
        <x:v>Role status must be checked before outreach; page has not been independently verified current in this run. No evidence of temp use.</x:v>
      </x:c>
      <x:c r="Q19" s="36" t="str">
        <x:v>I’m checking whether the Jonesboro site uses approved staffing suppliers for production or short-term coverage. Who handles contingent-labor sourcing and vendor approval?</x:v>
      </x:c>
      <x:c r="R19" s="36" t="str">
        <x:v>Re-open official job listing; verify current status and ask about approved-supplier process.</x:v>
      </x:c>
      <x:c r="S19" s="33" t="str">
        <x:v>Not contacted</x:v>
      </x:c>
      <x:c r="T19" s="33" t="str"/>
      <x:c r="U19" s="33" t="str"/>
      <x:c r="V19" s="33" t="str"/>
      <x:c r="W19" s="33" t="str"/>
    </x:row>
    <x:row r="20" ht="96" customHeight="1">
      <x:c r="A20" s="33" t="str">
        <x:v>Post Consumer Brands (Jonesboro)</x:v>
      </x:c>
      <x:c r="B20" s="33" t="str">
        <x:v>Jonesboro</x:v>
      </x:c>
      <x:c r="C20" s="33" t="str">
        <x:v>Cereal manufacturing</x:v>
      </x:c>
      <x:c r="D20" s="34" t="str">
        <x:v>P2</x:v>
      </x:c>
      <x:c r="E20" s="35" t="str"/>
      <x:c r="F20" s="36" t="str">
        <x:v>Official job listing previously identified for Quality and Food Safety Technician; page returned access denied during current check.</x:v>
      </x:c>
      <x:c r="G20" s="36" t="str">
        <x:v>Quality, packaging, or production support only if her screening capability and client-vendor route match the actual openings.</x:v>
      </x:c>
      <x:c r="H20" s="36" t="str">
        <x:v>Official job listing previously identified for Quality and Food Safety Technician; page returned access denied during current check.</x:v>
      </x:c>
      <x:c r="I20" s="36" t="str">
        <x:v>Industrial/distribution profile and local scale create a reason to ask; no present need has been verified.</x:v>
      </x:c>
      <x:c r="J20" s="33" t="str">
        <x:v>Plant HR / quality recruiting / operations / procurement</x:v>
      </x:c>
      <x:c r="K20" s="33" t="str">
        <x:v>Not verified in cited sources.</x:v>
      </x:c>
      <x:c r="L20" s="33" t="str">
        <x:v>Jonesboro, AR; exact street address not verified here.</x:v>
      </x:c>
      <x:c r="M20" s="33" t="str">
        <x:v>205 in Jonesboro MSA guide; source is regional/guide figure.</x:v>
      </x:c>
      <x:c r="N20" s="33" t="str">
        <x:v>POST, JEMP</x:v>
      </x:c>
      <x:c r="O20" s="36" t="str">
        <x:v>https://jobs.postholdings.com/postconsumerbrands-corporate/jobs/31104?lang=en-us
https://www.jonesborounlimited.com/major-employers-existing-industries</x:v>
      </x:c>
      <x:c r="P20" s="36" t="str">
        <x:v>Current vacancy status could not be rechecked; specific technician post is skilled and direct hire may be preferred.</x:v>
      </x:c>
      <x:c r="Q20" s="36" t="str">
        <x:v>Does the Jonesboro operation use staffing suppliers for any temporary production or coverage roles, or are your external vendors limited to direct-hire recruiting?</x:v>
      </x:c>
      <x:c r="R20" s="36" t="str">
        <x:v>Verify current official posting and supplier onboarding route before investing in outreach.</x:v>
      </x:c>
      <x:c r="S20" s="33" t="str">
        <x:v>Not contacted</x:v>
      </x:c>
      <x:c r="T20" s="33" t="str"/>
      <x:c r="U20" s="33" t="str"/>
      <x:c r="V20" s="33" t="str"/>
      <x:c r="W20" s="33" t="str"/>
    </x:row>
    <x:row r="21" ht="96" customHeight="1">
      <x:c r="A21" s="33" t="str">
        <x:v>Hytrol Conveyor Company</x:v>
      </x:c>
      <x:c r="B21" s="33" t="str">
        <x:v>Jonesboro</x:v>
      </x:c>
      <x:c r="C21" s="33" t="str">
        <x:v>Conveyor and material-handling equipment manufacturing</x:v>
      </x:c>
      <x:c r="D21" s="34" t="str">
        <x:v>P2</x:v>
      </x:c>
      <x:c r="E21" s="35" t="str"/>
      <x:c r="F21" s="36" t="str">
        <x:v>Jonesboro MSA industry guide reports approximately 1,400 area employees and historical expansions; company careers page is available, but no live opening independently verified here.</x:v>
      </x:c>
      <x:c r="G21" s="36" t="str">
        <x:v>Assembly, welding, machining, material handling, or short-term production support only after confirming current hiring and vendor access.</x:v>
      </x:c>
      <x:c r="H21" s="36" t="str">
        <x:v>Jonesboro MSA industry guide reports approximately 1,400 area employees and historical expansions; company careers page is available, but no live opening independently verified here.</x:v>
      </x:c>
      <x:c r="I21" s="36" t="str">
        <x:v>Industrial/distribution profile and local scale create a reason to ask; no present need has been verified.</x:v>
      </x:c>
      <x:c r="J21" s="33" t="str">
        <x:v>Plant HR / operations / talent acquisition / supplier management</x:v>
      </x:c>
      <x:c r="K21" s="33" t="str">
        <x:v>Not verified in cited sources.</x:v>
      </x:c>
      <x:c r="L21" s="33" t="str">
        <x:v>Jonesboro-area facility; exact address not verified here.</x:v>
      </x:c>
      <x:c r="M21" s="33" t="str">
        <x:v>1,400 in Jonesboro MSA industry guide; may not equal Jonesboro-only site count.</x:v>
      </x:c>
      <x:c r="N21" s="33" t="str">
        <x:v>JEMP, HYTROL, JADV</x:v>
      </x:c>
      <x:c r="O21" s="36" t="str">
        <x:v>https://www.jonesborounlimited.com/major-employers-existing-industries
https://careers.hytrol.com/
https://www.jonesborounlimited.com/key-industries/advanced-manufacturing</x:v>
      </x:c>
      <x:c r="P21" s="36" t="str">
        <x:v>Large employer and historical growth do not establish current labor need. Supplier qualification may be a long cycle.</x:v>
      </x:c>
      <x:c r="Q21" s="36" t="str">
        <x:v>When production volume changes, do you use external staffing vendors for short-term coverage, or do you fill production roles through your own recruiting process?</x:v>
      </x:c>
      <x:c r="R21" s="36" t="str">
        <x:v>Contact HR/vendor management with a capability sheet only after the agency confirms the role categories it can fill.</x:v>
      </x:c>
      <x:c r="S21" s="33" t="str">
        <x:v>Not contacted</x:v>
      </x:c>
      <x:c r="T21" s="33" t="str"/>
      <x:c r="U21" s="33" t="str"/>
      <x:c r="V21" s="33" t="str"/>
      <x:c r="W21" s="33" t="str"/>
    </x:row>
    <x:row r="22" ht="96" customHeight="1">
      <x:c r="A22" s="33" t="str">
        <x:v>Great Dane Trailers (Jonesboro)</x:v>
      </x:c>
      <x:c r="B22" s="33" t="str">
        <x:v>Jonesboro</x:v>
      </x:c>
      <x:c r="C22" s="33" t="str">
        <x:v>Dry-van trailer manufacturing</x:v>
      </x:c>
      <x:c r="D22" s="34" t="str">
        <x:v>P2</x:v>
      </x:c>
      <x:c r="E22" s="35" t="str"/>
      <x:c r="F22" s="36" t="str">
        <x:v>Jonesboro MSA guide lists approximately 405 area employees; no current local vacancy independently verified in this run.</x:v>
      </x:c>
      <x:c r="G22" s="36" t="str">
        <x:v>Fabrication/assembly roles only if agency can meet physical, welding/production, and safety screening needs.</x:v>
      </x:c>
      <x:c r="H22" s="36" t="str">
        <x:v>Jonesboro MSA guide lists approximately 405 area employees; no current local vacancy independently verified in this run.</x:v>
      </x:c>
      <x:c r="I22" s="36" t="str">
        <x:v>Industrial/distribution profile and local scale create a reason to ask; no present need has been verified.</x:v>
      </x:c>
      <x:c r="J22" s="33" t="str">
        <x:v>Plant HR / production / procurement / supplier management</x:v>
      </x:c>
      <x:c r="K22" s="33" t="str">
        <x:v>Not verified in cited sources.</x:v>
      </x:c>
      <x:c r="L22" s="33" t="str">
        <x:v>Jonesboro, AR; exact street address not verified here.</x:v>
      </x:c>
      <x:c r="M22" s="33" t="str">
        <x:v>405 in Jonesboro MSA guide; may not equal facility-only headcount.</x:v>
      </x:c>
      <x:c r="N22" s="33" t="str">
        <x:v>JEMP, GREATDANE</x:v>
      </x:c>
      <x:c r="O22" s="36" t="str">
        <x:v>https://www.jonesborounlimited.com/major-employers-existing-industries
https://greatdane.com/careers/</x:v>
      </x:c>
      <x:c r="P22" s="36" t="str">
        <x:v>Historical/guide scale is not evidence of present hiring. Prior operations listing references staffing plans but its current status is unverified.</x:v>
      </x:c>
      <x:c r="Q22" s="36" t="str">
        <x:v>Does the Jonesboro operation ever use staffing vendors for production coverage or peak workloads, and what supplier criteria would a new local agency need to meet?</x:v>
      </x:c>
      <x:c r="R22" s="36" t="str">
        <x:v>Ask whether the site is taking new suppliers and what roles/shifts are relevant this quarter.</x:v>
      </x:c>
      <x:c r="S22" s="33" t="str">
        <x:v>Not contacted</x:v>
      </x:c>
      <x:c r="T22" s="33" t="str"/>
      <x:c r="U22" s="33" t="str"/>
      <x:c r="V22" s="33" t="str"/>
      <x:c r="W22" s="33" t="str"/>
    </x:row>
    <x:row r="23" ht="96" customHeight="1">
      <x:c r="A23" s="33" t="str">
        <x:v>Nice-Pak Products (Jonesboro)</x:v>
      </x:c>
      <x:c r="B23" s="33" t="str">
        <x:v>Jonesboro</x:v>
      </x:c>
      <x:c r="C23" s="33" t="str">
        <x:v>Pre-moistened wipes manufacturing</x:v>
      </x:c>
      <x:c r="D23" s="34" t="str">
        <x:v>P2</x:v>
      </x:c>
      <x:c r="E23" s="35" t="str"/>
      <x:c r="F23" s="36" t="str">
        <x:v>Jonesboro MSA guide lists approximately 450 area employees and historical expansions; no current local vacancy independently verified here.</x:v>
      </x:c>
      <x:c r="G23" s="36" t="str">
        <x:v>Packaging/operator/warehouse support is a role-fit hypothesis only; verify local openings and supplier acceptance.</x:v>
      </x:c>
      <x:c r="H23" s="36" t="str">
        <x:v>Jonesboro MSA guide lists approximately 450 area employees and historical expansions; no current local vacancy independently verified here.</x:v>
      </x:c>
      <x:c r="I23" s="36" t="str">
        <x:v>Industrial/distribution profile and local scale create a reason to ask; no present need has been verified.</x:v>
      </x:c>
      <x:c r="J23" s="33" t="str">
        <x:v>Plant HR / production staffing lead / procurement</x:v>
      </x:c>
      <x:c r="K23" s="33" t="str">
        <x:v>Not verified in cited sources.</x:v>
      </x:c>
      <x:c r="L23" s="33" t="str">
        <x:v>Jonesboro, AR; exact street address not verified here.</x:v>
      </x:c>
      <x:c r="M23" s="33" t="str">
        <x:v>450 in Jonesboro MSA guide; not current facility payroll.</x:v>
      </x:c>
      <x:c r="N23" s="33" t="str">
        <x:v>JEMP, JADV</x:v>
      </x:c>
      <x:c r="O23" s="36" t="str">
        <x:v>https://www.jonesborounlimited.com/major-employers-existing-industries
https://www.jonesborounlimited.com/key-industries/advanced-manufacturing</x:v>
      </x:c>
      <x:c r="P23" s="36" t="str">
        <x:v>Past expansion figures are dated. No present temp need or staffing vendor use verified.</x:v>
      </x:c>
      <x:c r="Q23" s="36" t="str">
        <x:v>Has the Jonesboro facility had any seasonal or shift-coverage needs for packaging or production workers, and do you accept local staffing suppliers?</x:v>
      </x:c>
      <x:c r="R23" s="36" t="str">
        <x:v>Verify role demand and whether the employer uses direct recruiting, staffing, or both.</x:v>
      </x:c>
      <x:c r="S23" s="33" t="str">
        <x:v>Not contacted</x:v>
      </x:c>
      <x:c r="T23" s="33" t="str"/>
      <x:c r="U23" s="33" t="str"/>
      <x:c r="V23" s="33" t="str"/>
      <x:c r="W23" s="33" t="str"/>
    </x:row>
    <x:row r="24" ht="96" customHeight="1">
      <x:c r="A24" s="33" t="str">
        <x:v>FMH Conveyors (Jonesboro)</x:v>
      </x:c>
      <x:c r="B24" s="33" t="str">
        <x:v>Jonesboro</x:v>
      </x:c>
      <x:c r="C24" s="33" t="str">
        <x:v>Conveyor systems manufacturing</x:v>
      </x:c>
      <x:c r="D24" s="34" t="str">
        <x:v>P2</x:v>
      </x:c>
      <x:c r="E24" s="35" t="str"/>
      <x:c r="F24" s="36" t="str">
        <x:v>Jonesboro MSA guide lists approximately 325 area employees; no current local vacancy independently verified.</x:v>
      </x:c>
      <x:c r="G24" s="36" t="str">
        <x:v>Assembly/fabrication/material-handling role support if current site need and skill criteria are confirmed.</x:v>
      </x:c>
      <x:c r="H24" s="36" t="str">
        <x:v>Jonesboro MSA guide lists approximately 325 area employees; no current local vacancy independently verified.</x:v>
      </x:c>
      <x:c r="I24" s="36" t="str">
        <x:v>Industrial/distribution profile and local scale create a reason to ask; no present need has been verified.</x:v>
      </x:c>
      <x:c r="J24" s="33" t="str">
        <x:v>Plant HR / operations / production manager</x:v>
      </x:c>
      <x:c r="K24" s="33" t="str">
        <x:v>Not verified in cited sources.</x:v>
      </x:c>
      <x:c r="L24" s="33" t="str">
        <x:v>Jonesboro, AR; exact address not verified in this source set.</x:v>
      </x:c>
      <x:c r="M24" s="33" t="str">
        <x:v>325 in Jonesboro MSA guide; not current site-specific count.</x:v>
      </x:c>
      <x:c r="N24" s="33" t="str">
        <x:v>JEMP</x:v>
      </x:c>
      <x:c r="O24" s="36" t="str">
        <x:v>https://www.jonesborounlimited.com/major-employers-existing-industries</x:v>
      </x:c>
      <x:c r="P24" s="36" t="str">
        <x:v>Scale only; no current job or staffing-vendor evidence. Do not frame as a known need.</x:v>
      </x:c>
      <x:c r="Q24" s="36" t="str">
        <x:v>Do production peaks, absences, or project schedules create temporary labor needs at the Jonesboro plant, or do you rely entirely on direct hiring?</x:v>
      </x:c>
      <x:c r="R24" s="36" t="str">
        <x:v>Confirm local worksite, shift coverage needs, and vendor onboarding process.</x:v>
      </x:c>
      <x:c r="S24" s="33" t="str">
        <x:v>Not contacted</x:v>
      </x:c>
      <x:c r="T24" s="33" t="str"/>
      <x:c r="U24" s="33" t="str"/>
      <x:c r="V24" s="33" t="str"/>
      <x:c r="W24" s="33" t="str"/>
    </x:row>
    <x:row r="25" ht="96" customHeight="1">
      <x:c r="A25" s="33" t="str">
        <x:v>Riceland Foods (Jonesboro)</x:v>
      </x:c>
      <x:c r="B25" s="33" t="str">
        <x:v>Jonesboro</x:v>
      </x:c>
      <x:c r="C25" s="33" t="str">
        <x:v>Rice milling and food distribution</x:v>
      </x:c>
      <x:c r="D25" s="34" t="str">
        <x:v>P2</x:v>
      </x:c>
      <x:c r="E25" s="35" t="str"/>
      <x:c r="F25" s="36" t="str">
        <x:v>Jonesboro MSA guide lists approximately 445 area employees for Jonesboro operation; no current local opening independently verified.</x:v>
      </x:c>
      <x:c r="G25" s="36" t="str">
        <x:v>Seasonal processing, packaging, warehouse, or material-moving assignments may fit if seasonal rhythm and job requirements support it.</x:v>
      </x:c>
      <x:c r="H25" s="36" t="str">
        <x:v>Jonesboro MSA guide lists approximately 445 area employees for Jonesboro operation; no current local opening independently verified.</x:v>
      </x:c>
      <x:c r="I25" s="36" t="str">
        <x:v>Industrial/distribution profile and local scale create a reason to ask; no present need has been verified.</x:v>
      </x:c>
      <x:c r="J25" s="33" t="str">
        <x:v>Local operations / HR / workforce planning</x:v>
      </x:c>
      <x:c r="K25" s="33" t="str">
        <x:v>Not verified in cited sources.</x:v>
      </x:c>
      <x:c r="L25" s="33" t="str">
        <x:v>Jonesboro, AR; exact location not confirmed in this research set.</x:v>
      </x:c>
      <x:c r="M25" s="33" t="str">
        <x:v>445 in Jonesboro MSA guide; distinguish Jonesboro location from Waldenburg listing.</x:v>
      </x:c>
      <x:c r="N25" s="33" t="str">
        <x:v>JEMP, JADV</x:v>
      </x:c>
      <x:c r="O25" s="36" t="str">
        <x:v>https://www.jonesborounlimited.com/major-employers-existing-industries
https://www.jonesborounlimited.com/key-industries/advanced-manufacturing</x:v>
      </x:c>
      <x:c r="P25" s="36" t="str">
        <x:v>No current opening or outside agency use verified; seasonal demand is a question to ask, not a fact.</x:v>
      </x:c>
      <x:c r="Q25" s="36" t="str">
        <x:v>How does the Jonesboro operation handle staffing across seasonal production and shipping cycles, and are any temporary assignments sourced externally?</x:v>
      </x:c>
      <x:c r="R25" s="36" t="str">
        <x:v>Ask about seasonality calendar, location, job categories, safety screening and vendor criteria.</x:v>
      </x:c>
      <x:c r="S25" s="33" t="str">
        <x:v>Not contacted</x:v>
      </x:c>
      <x:c r="T25" s="33" t="str"/>
      <x:c r="U25" s="33" t="str"/>
      <x:c r="V25" s="33" t="str"/>
      <x:c r="W25" s="33" t="str"/>
    </x:row>
    <x:row r="26" ht="96" customHeight="1">
      <x:c r="A26" s="33" t="str">
        <x:v>TrinityRail Maintenance Services (Jonesboro)</x:v>
      </x:c>
      <x:c r="B26" s="33" t="str">
        <x:v>Jonesboro</x:v>
      </x:c>
      <x:c r="C26" s="33" t="str">
        <x:v>Railcar maintenance</x:v>
      </x:c>
      <x:c r="D26" s="34" t="str">
        <x:v>P2</x:v>
      </x:c>
      <x:c r="E26" s="35" t="str"/>
      <x:c r="F26" s="36" t="str">
        <x:v>Jonesboro MSA guide lists approximately 236 employees; no current local vacancy independently verified.</x:v>
      </x:c>
      <x:c r="G26" s="36" t="str">
        <x:v>Railcar maintenance labor only if agency has relevant trade recruiting, site safety practices, and required qualifications.</x:v>
      </x:c>
      <x:c r="H26" s="36" t="str">
        <x:v>Jonesboro MSA guide lists approximately 236 employees; no current local vacancy independently verified.</x:v>
      </x:c>
      <x:c r="I26" s="36" t="str">
        <x:v>Industrial/distribution profile and local scale create a reason to ask; no present need has been verified.</x:v>
      </x:c>
      <x:c r="J26" s="33" t="str">
        <x:v>Site HR / maintenance manager / safety / procurement</x:v>
      </x:c>
      <x:c r="K26" s="33" t="str">
        <x:v>Not verified in cited sources.</x:v>
      </x:c>
      <x:c r="L26" s="33" t="str">
        <x:v>Jonesboro, AR; exact site address not confirmed in this research set.</x:v>
      </x:c>
      <x:c r="M26" s="33" t="str">
        <x:v>236 in Jonesboro MSA guide; not current site-specific count.</x:v>
      </x:c>
      <x:c r="N26" s="33" t="str">
        <x:v>JEMP, JADV</x:v>
      </x:c>
      <x:c r="O26" s="36" t="str">
        <x:v>https://www.jonesborounlimited.com/major-employers-existing-industries
https://www.jonesborounlimited.com/key-industries/advanced-manufacturing</x:v>
      </x:c>
      <x:c r="P26" s="36" t="str">
        <x:v>Rail maintenance can involve elevated hazards and specialized qualifications; do not offer general labor without task-specific review.</x:v>
      </x:c>
      <x:c r="Q26" s="36" t="str">
        <x:v>Do railcar maintenance schedules ever require outside temporary craft support, and what safety, training, and supplier qualifications would apply?</x:v>
      </x:c>
      <x:c r="R26" s="36" t="str">
        <x:v>Confirm role restrictions, hazard profile, insurance and vendor onboarding before discussing candidates.</x:v>
      </x:c>
      <x:c r="S26" s="33" t="str">
        <x:v>Not contacted</x:v>
      </x:c>
      <x:c r="T26" s="33" t="str"/>
      <x:c r="U26" s="33" t="str"/>
      <x:c r="V26" s="33" t="str"/>
      <x:c r="W26" s="33" t="str"/>
    </x:row>
    <x:row r="27" ht="96" customHeight="1">
      <x:c r="A27" s="33" t="str">
        <x:v>Arkansas Glass Container Corporation</x:v>
      </x:c>
      <x:c r="B27" s="33" t="str">
        <x:v>Jonesboro area</x:v>
      </x:c>
      <x:c r="C27" s="33" t="str">
        <x:v>Glass-container manufacturing</x:v>
      </x:c>
      <x:c r="D27" s="34" t="str">
        <x:v>P2</x:v>
      </x:c>
      <x:c r="E27" s="35" t="str"/>
      <x:c r="F27" s="36" t="str">
        <x:v>Jonesboro MSA guide lists approximately 235 employees; no current local opening independently verified.</x:v>
      </x:c>
      <x:c r="G27" s="36" t="str">
        <x:v>Packaging/production/maintenance only after confirming current roles, worksite hazards, shift needs and screening requirements.</x:v>
      </x:c>
      <x:c r="H27" s="36" t="str">
        <x:v>Jonesboro MSA guide lists approximately 235 employees; no current local opening independently verified.</x:v>
      </x:c>
      <x:c r="I27" s="36" t="str">
        <x:v>Industrial/distribution profile and local scale create a reason to ask; no present need has been verified.</x:v>
      </x:c>
      <x:c r="J27" s="33" t="str">
        <x:v>Plant HR / operations / safety</x:v>
      </x:c>
      <x:c r="K27" s="33" t="str">
        <x:v>Not verified in cited sources.</x:v>
      </x:c>
      <x:c r="L27" s="33" t="str">
        <x:v>Jonesboro MSA; exact site location not confirmed in this research set.</x:v>
      </x:c>
      <x:c r="M27" s="33" t="str">
        <x:v>235 in Jonesboro MSA guide.</x:v>
      </x:c>
      <x:c r="N27" s="33" t="str">
        <x:v>JEMP, JADV</x:v>
      </x:c>
      <x:c r="O27" s="36" t="str">
        <x:v>https://www.jonesborounlimited.com/major-employers-existing-industries
https://www.jonesborounlimited.com/key-industries/advanced-manufacturing</x:v>
      </x:c>
      <x:c r="P27" s="36" t="str">
        <x:v>No current hiring or staffing vendor use verified. Glass production is safety-sensitive; agency capabilities matter.</x:v>
      </x:c>
      <x:c r="Q27" s="36" t="str">
        <x:v>Does the plant use temporary workers for production or coverage? If so, which work areas and safety qualifications are required before a supplier can be considered?</x:v>
      </x:c>
      <x:c r="R27" s="36" t="str">
        <x:v>Confirm site-specific hazards, training ownership and worker qualification standards.</x:v>
      </x:c>
      <x:c r="S27" s="33" t="str">
        <x:v>Not contacted</x:v>
      </x:c>
      <x:c r="T27" s="33" t="str"/>
      <x:c r="U27" s="33" t="str"/>
      <x:c r="V27" s="33" t="str"/>
      <x:c r="W27" s="33" t="str"/>
    </x:row>
    <x:row r="28" ht="96" customHeight="1">
      <x:c r="A28" s="33" t="str">
        <x:v>Best Manufacturing (Jonesboro)</x:v>
      </x:c>
      <x:c r="B28" s="33" t="str">
        <x:v>Jonesboro</x:v>
      </x:c>
      <x:c r="C28" s="33" t="str">
        <x:v>Laser cutting, metal fabrication, painting, powder coating, welding</x:v>
      </x:c>
      <x:c r="D28" s="34" t="str">
        <x:v>P2</x:v>
      </x:c>
      <x:c r="E28" s="35" t="str"/>
      <x:c r="F28" s="36" t="str">
        <x:v>Jonesboro MSA guide lists approximately 110 employees and a past expansion; no current job independently verified.</x:v>
      </x:c>
      <x:c r="G28" s="36" t="str">
        <x:v>Fabrication, welding, paint/powder, or production support based on confirmed skill-screening and PPE readiness.</x:v>
      </x:c>
      <x:c r="H28" s="36" t="str">
        <x:v>Jonesboro MSA guide lists approximately 110 employees and a past expansion; no current job independently verified.</x:v>
      </x:c>
      <x:c r="I28" s="36" t="str">
        <x:v>Industrial/distribution profile and local scale create a reason to ask; no present need has been verified.</x:v>
      </x:c>
      <x:c r="J28" s="33" t="str">
        <x:v>Owner / plant manager / HR / safety lead</x:v>
      </x:c>
      <x:c r="K28" s="33" t="str">
        <x:v>Not verified in cited sources.</x:v>
      </x:c>
      <x:c r="L28" s="33" t="str">
        <x:v>Jonesboro, AR; exact street address not confirmed here.</x:v>
      </x:c>
      <x:c r="M28" s="33" t="str">
        <x:v>110 in Jonesboro MSA guide.</x:v>
      </x:c>
      <x:c r="N28" s="33" t="str">
        <x:v>JEMP</x:v>
      </x:c>
      <x:c r="O28" s="36" t="str">
        <x:v>https://www.jonesborounlimited.com/major-employers-existing-industries</x:v>
      </x:c>
      <x:c r="P28" s="36" t="str">
        <x:v>Historical 2022 expansion is not current demand. Need, skill tests, PPE and safety are unknown.</x:v>
      </x:c>
      <x:c r="Q28" s="36" t="str">
        <x:v>Do you use temporary staffing for fabrication or production peaks, and are any roles suitable for short-term or temp-to-hire candidates?</x:v>
      </x:c>
      <x:c r="R28" s="36" t="str">
        <x:v>Ask whether agency vendors are accepted and which certifications/tests are required.</x:v>
      </x:c>
      <x:c r="S28" s="33" t="str">
        <x:v>Not contacted</x:v>
      </x:c>
      <x:c r="T28" s="33" t="str"/>
      <x:c r="U28" s="33" t="str"/>
      <x:c r="V28" s="33" t="str"/>
      <x:c r="W28" s="33" t="str"/>
    </x:row>
    <x:row r="29" ht="96" customHeight="1">
      <x:c r="A29" s="33" t="str">
        <x:v>Camfil APC (Jonesboro)</x:v>
      </x:c>
      <x:c r="B29" s="33" t="str">
        <x:v>Jonesboro</x:v>
      </x:c>
      <x:c r="C29" s="33" t="str">
        <x:v>Air-filtration equipment manufacturing</x:v>
      </x:c>
      <x:c r="D29" s="34" t="str">
        <x:v>P2</x:v>
      </x:c>
      <x:c r="E29" s="35" t="str"/>
      <x:c r="F29" s="36" t="str">
        <x:v>Jonesboro MSA guide lists approximately 305 employees; no current local vacancy independently verified.</x:v>
      </x:c>
      <x:c r="G29" s="36" t="str">
        <x:v>Assembly, machine operation or warehouse roles are hypotheses; verify shifts and role requirements first.</x:v>
      </x:c>
      <x:c r="H29" s="36" t="str">
        <x:v>Jonesboro MSA guide lists approximately 305 employees; no current local vacancy independently verified.</x:v>
      </x:c>
      <x:c r="I29" s="36" t="str">
        <x:v>Industrial/distribution profile and local scale create a reason to ask; no present need has been verified.</x:v>
      </x:c>
      <x:c r="J29" s="33" t="str">
        <x:v>Plant HR / operations / supplier management</x:v>
      </x:c>
      <x:c r="K29" s="33" t="str">
        <x:v>Not verified in cited sources.</x:v>
      </x:c>
      <x:c r="L29" s="33" t="str">
        <x:v>Jonesboro, AR; exact address not confirmed here.</x:v>
      </x:c>
      <x:c r="M29" s="33" t="str">
        <x:v>305 in Jonesboro MSA guide.</x:v>
      </x:c>
      <x:c r="N29" s="33" t="str">
        <x:v>JEMP</x:v>
      </x:c>
      <x:c r="O29" s="36" t="str">
        <x:v>https://www.jonesborounlimited.com/major-employers-existing-industries</x:v>
      </x:c>
      <x:c r="P29" s="36" t="str">
        <x:v>Scale only and no current hiring evidence; no claim of staffing agency usage.</x:v>
      </x:c>
      <x:c r="Q29" s="36" t="str">
        <x:v>Has your Jonesboro operation had any shift-coverage or production-volume staffing gaps, and would you consider a local staffing supplier if the role and vendor requirements fit?</x:v>
      </x:c>
      <x:c r="R29" s="36" t="str">
        <x:v>Confirm whether the site accepts new supplier relationships and the role types it outsources.</x:v>
      </x:c>
      <x:c r="S29" s="33" t="str">
        <x:v>Not contacted</x:v>
      </x:c>
      <x:c r="T29" s="33" t="str"/>
      <x:c r="U29" s="33" t="str"/>
      <x:c r="V29" s="33" t="str"/>
      <x:c r="W29" s="33" t="str"/>
    </x:row>
    <x:row r="30" ht="96" customHeight="1">
      <x:c r="A30" s="33" t="str">
        <x:v>Jonesboro Tool &amp; Die Company</x:v>
      </x:c>
      <x:c r="B30" s="33" t="str">
        <x:v>Jonesboro</x:v>
      </x:c>
      <x:c r="C30" s="33" t="str">
        <x:v>Tooling, dies, jigs and fixtures</x:v>
      </x:c>
      <x:c r="D30" s="34" t="str">
        <x:v>P2</x:v>
      </x:c>
      <x:c r="E30" s="35" t="str"/>
      <x:c r="F30" s="36" t="str">
        <x:v>Jonesboro MSA guide lists approximately 85 employees; no current local vacancy independently verified.</x:v>
      </x:c>
      <x:c r="G30" s="36" t="str">
        <x:v>Machinist/toolmaker roles only if agency can source qualified candidates and verify technical experience.</x:v>
      </x:c>
      <x:c r="H30" s="36" t="str">
        <x:v>Jonesboro MSA guide lists approximately 85 employees; no current local vacancy independently verified.</x:v>
      </x:c>
      <x:c r="I30" s="36" t="str">
        <x:v>Industrial/distribution profile and local scale create a reason to ask; no present need has been verified.</x:v>
      </x:c>
      <x:c r="J30" s="33" t="str">
        <x:v>Owner / shop manager / HR</x:v>
      </x:c>
      <x:c r="K30" s="33" t="str">
        <x:v>Not verified in cited sources.</x:v>
      </x:c>
      <x:c r="L30" s="33" t="str">
        <x:v>Jonesboro, AR; exact address not confirmed in this research set.</x:v>
      </x:c>
      <x:c r="M30" s="33" t="str">
        <x:v>85 in Jonesboro MSA guide.</x:v>
      </x:c>
      <x:c r="N30" s="33" t="str">
        <x:v>JEMP</x:v>
      </x:c>
      <x:c r="O30" s="36" t="str">
        <x:v>https://www.jonesborounlimited.com/major-employers-existing-industries</x:v>
      </x:c>
      <x:c r="P30" s="36" t="str">
        <x:v>Smaller scale may mean direct hiring; specialized skill scarcity can make recruiting useful but is not established.</x:v>
      </x:c>
      <x:c r="Q30" s="36" t="str">
        <x:v>Do you ever bring in contract or temporary machinists/toolmakers for backlog or leave coverage, or do you prefer direct-hire only?</x:v>
      </x:c>
      <x:c r="R30" s="36" t="str">
        <x:v>Confirm trade skills, work tests, assignment length, and whether an agency arrangement is viable.</x:v>
      </x:c>
      <x:c r="S30" s="33" t="str">
        <x:v>Not contacted</x:v>
      </x:c>
      <x:c r="T30" s="33" t="str"/>
      <x:c r="U30" s="33" t="str"/>
      <x:c r="V30" s="33" t="str"/>
      <x:c r="W30" s="33" t="str"/>
    </x:row>
    <x:row r="31" ht="96" customHeight="1">
      <x:c r="A31" s="33" t="str">
        <x:v>JMS Russell Metals Corporation</x:v>
      </x:c>
      <x:c r="B31" s="33" t="str">
        <x:v>Jonesboro</x:v>
      </x:c>
      <x:c r="C31" s="33" t="str">
        <x:v>Steel processing and warehouse</x:v>
      </x:c>
      <x:c r="D31" s="34" t="str">
        <x:v>P2</x:v>
      </x:c>
      <x:c r="E31" s="35" t="str"/>
      <x:c r="F31" s="36" t="str">
        <x:v>Jonesboro MSA guide lists approximately 50 employees; no current local opening independently verified.</x:v>
      </x:c>
      <x:c r="G31" s="36" t="str">
        <x:v>Warehouse/material handling/processing roles if current business need and equipment certifications are confirmed.</x:v>
      </x:c>
      <x:c r="H31" s="36" t="str">
        <x:v>Jonesboro MSA guide lists approximately 50 employees; no current local opening independently verified.</x:v>
      </x:c>
      <x:c r="I31" s="36" t="str">
        <x:v>Industrial/distribution profile and local scale create a reason to ask; no present need has been verified.</x:v>
      </x:c>
      <x:c r="J31" s="33" t="str">
        <x:v>Branch manager / operations / HR</x:v>
      </x:c>
      <x:c r="K31" s="33" t="str">
        <x:v>Not verified in cited sources.</x:v>
      </x:c>
      <x:c r="L31" s="33" t="str">
        <x:v>Jonesboro, AR; exact address not verified here.</x:v>
      </x:c>
      <x:c r="M31" s="33" t="str">
        <x:v>50 in Jonesboro MSA guide.</x:v>
      </x:c>
      <x:c r="N31" s="33" t="str">
        <x:v>JEMP, JADV</x:v>
      </x:c>
      <x:c r="O31" s="36" t="str">
        <x:v>https://www.jonesborounlimited.com/major-employers-existing-industries
https://www.jonesborounlimited.com/key-industries/advanced-manufacturing</x:v>
      </x:c>
      <x:c r="P31" s="36" t="str">
        <x:v>Small-site scale does not prove temp demand; powered-equipment safety requirements may apply.</x:v>
      </x:c>
      <x:c r="Q31" s="36" t="str">
        <x:v>Do you ever need short-term warehouse or steel-processing coverage, and what experience or equipment training would a staffing supplier have to verify?</x:v>
      </x:c>
      <x:c r="R31" s="36" t="str">
        <x:v>Ask about forklift/equipment credentials, worksite hazards and local decision maker.</x:v>
      </x:c>
      <x:c r="S31" s="33" t="str">
        <x:v>Not contacted</x:v>
      </x:c>
      <x:c r="T31" s="33" t="str"/>
      <x:c r="U31" s="33" t="str"/>
      <x:c r="V31" s="33" t="str"/>
      <x:c r="W31" s="33" t="str"/>
    </x:row>
    <x:row r="32" ht="96" customHeight="1">
      <x:c r="A32" s="33" t="str">
        <x:v>Ryder (Jonesboro refrigerated warehouse)</x:v>
      </x:c>
      <x:c r="B32" s="33" t="str">
        <x:v>Jonesboro</x:v>
      </x:c>
      <x:c r="C32" s="33" t="str">
        <x:v>Refrigerated warehousing</x:v>
      </x:c>
      <x:c r="D32" s="34" t="str">
        <x:v>P2</x:v>
      </x:c>
      <x:c r="E32" s="35" t="str"/>
      <x:c r="F32" s="36" t="str">
        <x:v>Jonesboro MSA guide lists approximately 55 employees; no current local opening independently verified.</x:v>
      </x:c>
      <x:c r="G32" s="36" t="str">
        <x:v>Warehouse, loading, inventory, or seasonal receiving roles if the local operation accepts suppliers.</x:v>
      </x:c>
      <x:c r="H32" s="36" t="str">
        <x:v>Jonesboro MSA guide lists approximately 55 employees; no current local opening independently verified.</x:v>
      </x:c>
      <x:c r="I32" s="36" t="str">
        <x:v>Industrial/distribution profile and local scale create a reason to ask; no present need has been verified.</x:v>
      </x:c>
      <x:c r="J32" s="33" t="str">
        <x:v>Warehouse/site manager / HR / vendor management</x:v>
      </x:c>
      <x:c r="K32" s="33" t="str">
        <x:v>Not verified in cited sources.</x:v>
      </x:c>
      <x:c r="L32" s="33" t="str">
        <x:v>Jonesboro, AR; exact location and current operating entity not verified.</x:v>
      </x:c>
      <x:c r="M32" s="33" t="str">
        <x:v>55 in Jonesboro MSA guide.</x:v>
      </x:c>
      <x:c r="N32" s="33" t="str">
        <x:v>JEMP, JADV</x:v>
      </x:c>
      <x:c r="O32" s="36" t="str">
        <x:v>https://www.jonesborounlimited.com/major-employers-existing-industries
https://www.jonesborounlimited.com/key-industries/advanced-manufacturing</x:v>
      </x:c>
      <x:c r="P32" s="36" t="str">
        <x:v>Confirm the current local operator/entity before outreach; cold-chain, sanitation, and equipment requirements may apply.</x:v>
      </x:c>
      <x:c r="Q32" s="36" t="str">
        <x:v>Does the Jonesboro cold-storage operation use temporary help for receiving, picking, or peak volume, and which supplier and safety standards apply?</x:v>
      </x:c>
      <x:c r="R32" s="36" t="str">
        <x:v>Verify site operator, location, shift, temperature/PPE conditions, and vendor policy.</x:v>
      </x:c>
      <x:c r="S32" s="33" t="str">
        <x:v>Not contacted</x:v>
      </x:c>
      <x:c r="T32" s="33" t="str"/>
      <x:c r="U32" s="33" t="str"/>
      <x:c r="V32" s="33" t="str"/>
      <x:c r="W32" s="33" t="str"/>
    </x:row>
    <x:row r="33" ht="96" customHeight="1">
      <x:c r="A33" s="33" t="str">
        <x:v>Roach Conveyors</x:v>
      </x:c>
      <x:c r="B33" s="33" t="str">
        <x:v>Jonesboro area</x:v>
      </x:c>
      <x:c r="C33" s="33" t="str">
        <x:v>Material-handling conveyor manufacturing</x:v>
      </x:c>
      <x:c r="D33" s="34" t="str">
        <x:v>P2</x:v>
      </x:c>
      <x:c r="E33" s="35" t="str"/>
      <x:c r="F33" s="36" t="str">
        <x:v>Jonesboro MSA guide lists approximately 299 employees; no current local opening independently verified.</x:v>
      </x:c>
      <x:c r="G33" s="36" t="str">
        <x:v>Assembly, fabrication, warehouse, or technician work only after verifying role and agency capacity.</x:v>
      </x:c>
      <x:c r="H33" s="36" t="str">
        <x:v>Jonesboro MSA guide lists approximately 299 employees; no current local opening independently verified.</x:v>
      </x:c>
      <x:c r="I33" s="36" t="str">
        <x:v>Industrial/distribution profile and local scale create a reason to ask; no present need has been verified.</x:v>
      </x:c>
      <x:c r="J33" s="33" t="str">
        <x:v>Plant HR / production operations / procurement</x:v>
      </x:c>
      <x:c r="K33" s="33" t="str">
        <x:v>Not verified in cited sources.</x:v>
      </x:c>
      <x:c r="L33" s="33" t="str">
        <x:v>Jonesboro MSA; exact site details not verified in this research set.</x:v>
      </x:c>
      <x:c r="M33" s="33" t="str">
        <x:v>299 in Jonesboro MSA guide.</x:v>
      </x:c>
      <x:c r="N33" s="33" t="str">
        <x:v>JEMP</x:v>
      </x:c>
      <x:c r="O33" s="36" t="str">
        <x:v>https://www.jonesborounlimited.com/major-employers-existing-industries</x:v>
      </x:c>
      <x:c r="P33" s="36" t="str">
        <x:v>Employment guide scale only. Current openings and agency use are unknown.</x:v>
      </x:c>
      <x:c r="Q33" s="36" t="str">
        <x:v>Do production or project schedules create temporary workforce needs at your local operation, and are new staffing suppliers considered?</x:v>
      </x:c>
      <x:c r="R33" s="36" t="str">
        <x:v>Confirm exact local operation and vendor onboarding contact.</x:v>
      </x:c>
      <x:c r="S33" s="33" t="str">
        <x:v>Not contacted</x:v>
      </x:c>
      <x:c r="T33" s="33" t="str"/>
      <x:c r="U33" s="33" t="str"/>
      <x:c r="V33" s="33" t="str"/>
      <x:c r="W33" s="33" t="str"/>
    </x:row>
    <x:row r="34" ht="96" customHeight="1">
      <x:c r="A34" s="33" t="str">
        <x:v>Windmill Rice Company</x:v>
      </x:c>
      <x:c r="B34" s="33" t="str">
        <x:v>Jonesboro area</x:v>
      </x:c>
      <x:c r="C34" s="33" t="str">
        <x:v>Rice milling and by-products</x:v>
      </x:c>
      <x:c r="D34" s="34" t="str">
        <x:v>P2</x:v>
      </x:c>
      <x:c r="E34" s="35" t="str"/>
      <x:c r="F34" s="36" t="str">
        <x:v>Jonesboro MSA guide lists approximately 75 employees; no current local vacancy independently verified.</x:v>
      </x:c>
      <x:c r="G34" s="36" t="str">
        <x:v>Seasonal processing, warehouse or production roles if the company has short-term capacity needs.</x:v>
      </x:c>
      <x:c r="H34" s="36" t="str">
        <x:v>Jonesboro MSA guide lists approximately 75 employees; no current local vacancy independently verified.</x:v>
      </x:c>
      <x:c r="I34" s="36" t="str">
        <x:v>Industrial/distribution profile and local scale create a reason to ask; no present need has been verified.</x:v>
      </x:c>
      <x:c r="J34" s="33" t="str">
        <x:v>Operations manager / HR / owner</x:v>
      </x:c>
      <x:c r="K34" s="33" t="str">
        <x:v>Not verified in cited sources.</x:v>
      </x:c>
      <x:c r="L34" s="33" t="str">
        <x:v>Jonesboro MSA; exact location not confirmed in this research set.</x:v>
      </x:c>
      <x:c r="M34" s="33" t="str">
        <x:v>75 in Jonesboro MSA guide.</x:v>
      </x:c>
      <x:c r="N34" s="33" t="str">
        <x:v>JEMP, JADV</x:v>
      </x:c>
      <x:c r="O34" s="36" t="str">
        <x:v>https://www.jonesborounlimited.com/major-employers-existing-industries
https://www.jonesborounlimited.com/key-industries/advanced-manufacturing</x:v>
      </x:c>
      <x:c r="P34" s="36" t="str">
        <x:v>No current hiring or outside agency use evidence; confirm seasonality and operating location.</x:v>
      </x:c>
      <x:c r="Q34" s="36" t="str">
        <x:v>Do your production or shipping cycles create temporary staffing needs, or are all positions filled directly?</x:v>
      </x:c>
      <x:c r="R34" s="36" t="str">
        <x:v>Ask when volume peaks occur and whether the agency’s available roles align.</x:v>
      </x:c>
      <x:c r="S34" s="33" t="str">
        <x:v>Not contacted</x:v>
      </x:c>
      <x:c r="T34" s="33" t="str"/>
      <x:c r="U34" s="33" t="str"/>
      <x:c r="V34" s="33" t="str"/>
      <x:c r="W34" s="33" t="str"/>
    </x:row>
    <x:row r="35" ht="96" customHeight="1">
      <x:c r="A35" s="33" t="str">
        <x:v>Scurlock Industries of Jonesboro</x:v>
      </x:c>
      <x:c r="B35" s="33" t="str">
        <x:v>Jonesboro</x:v>
      </x:c>
      <x:c r="C35" s="33" t="str">
        <x:v>Concrete pipe and precast products</x:v>
      </x:c>
      <x:c r="D35" s="34" t="str">
        <x:v>P2</x:v>
      </x:c>
      <x:c r="E35" s="35" t="str"/>
      <x:c r="F35" s="36" t="str">
        <x:v>Jonesboro MSA guide lists approximately 180 employees; no current vacancy independently verified.</x:v>
      </x:c>
      <x:c r="G35" s="36" t="str">
        <x:v>Production, yard, concrete/precast, or material-moving work only if safety and experience match.</x:v>
      </x:c>
      <x:c r="H35" s="36" t="str">
        <x:v>Jonesboro MSA guide lists approximately 180 employees; no current vacancy independently verified.</x:v>
      </x:c>
      <x:c r="I35" s="36" t="str">
        <x:v>Industrial/distribution profile and local scale create a reason to ask; no present need has been verified.</x:v>
      </x:c>
      <x:c r="J35" s="33" t="str">
        <x:v>Plant manager / operations / safety / HR</x:v>
      </x:c>
      <x:c r="K35" s="33" t="str">
        <x:v>Not verified in cited sources.</x:v>
      </x:c>
      <x:c r="L35" s="33" t="str">
        <x:v>Jonesboro, AR; exact site address not verified.</x:v>
      </x:c>
      <x:c r="M35" s="33" t="str">
        <x:v>180 in Jonesboro MSA guide.</x:v>
      </x:c>
      <x:c r="N35" s="33" t="str">
        <x:v>JEMP, JADV</x:v>
      </x:c>
      <x:c r="O35" s="36" t="str">
        <x:v>https://www.jonesborounlimited.com/major-employers-existing-industries
https://www.jonesborounlimited.com/key-industries/advanced-manufacturing</x:v>
      </x:c>
      <x:c r="P35" s="36" t="str">
        <x:v>Potential physical and equipment hazards; no active temp requirement or staffing vendor use verified.</x:v>
      </x:c>
      <x:c r="Q35" s="36" t="str">
        <x:v>Does the plant use temporary workers for production, yard, or peak-shipment coverage, and what site-specific training would be required?</x:v>
      </x:c>
      <x:c r="R35" s="36" t="str">
        <x:v>Qualify hazards, PPE, worksite orientation, and job-specific requirements before sourcing.</x:v>
      </x:c>
      <x:c r="S35" s="33" t="str">
        <x:v>Not contacted</x:v>
      </x:c>
      <x:c r="T35" s="33" t="str"/>
      <x:c r="U35" s="33" t="str"/>
      <x:c r="V35" s="33" t="str"/>
      <x:c r="W35" s="33" t="str"/>
    </x:row>
    <x:row r="36" ht="96" customHeight="1">
      <x:c r="A36" s="33" t="str">
        <x:v>Southern Cast Products</x:v>
      </x:c>
      <x:c r="B36" s="33" t="str">
        <x:v>Jonesboro area</x:v>
      </x:c>
      <x:c r="C36" s="33" t="str">
        <x:v>Metal casting and machining</x:v>
      </x:c>
      <x:c r="D36" s="34" t="str">
        <x:v>P2</x:v>
      </x:c>
      <x:c r="E36" s="35" t="str"/>
      <x:c r="F36" s="36" t="str">
        <x:v>Jonesboro MSA guide lists approximately 60 employees; no current local vacancy independently verified.</x:v>
      </x:c>
      <x:c r="G36" s="36" t="str">
        <x:v>Foundry/machining/finishing roles only if agency can recruit for hazardous industrial work and coordinate safety duties.</x:v>
      </x:c>
      <x:c r="H36" s="36" t="str">
        <x:v>Jonesboro MSA guide lists approximately 60 employees; no current local vacancy independently verified.</x:v>
      </x:c>
      <x:c r="I36" s="36" t="str">
        <x:v>Industrial/distribution profile and local scale create a reason to ask; no present need has been verified.</x:v>
      </x:c>
      <x:c r="J36" s="33" t="str">
        <x:v>Plant manager / HR / safety / owner</x:v>
      </x:c>
      <x:c r="K36" s="33" t="str">
        <x:v>Not verified in cited sources.</x:v>
      </x:c>
      <x:c r="L36" s="33" t="str">
        <x:v>Jonesboro MSA; exact location not confirmed.</x:v>
      </x:c>
      <x:c r="M36" s="33" t="str">
        <x:v>60 in Jonesboro MSA guide.</x:v>
      </x:c>
      <x:c r="N36" s="33" t="str">
        <x:v>JEMP, JADV</x:v>
      </x:c>
      <x:c r="O36" s="36" t="str">
        <x:v>https://www.jonesborounlimited.com/major-employers-existing-industries
https://www.jonesborounlimited.com/key-industries/advanced-manufacturing</x:v>
      </x:c>
      <x:c r="P36" s="36" t="str">
        <x:v>Foundry work can be high-hazard; do not pitch until agency readiness and client safety controls are verified.</x:v>
      </x:c>
      <x:c r="Q36" s="36" t="str">
        <x:v>Do you ever use outside staffing for short-term foundry or machining work, and what site hazard, training, PPE, and experience requirements apply?</x:v>
      </x:c>
      <x:c r="R36" s="36" t="str">
        <x:v>Do a safety/vendor fit screen before any candidate sourcing.</x:v>
      </x:c>
      <x:c r="S36" s="33" t="str">
        <x:v>Not contacted</x:v>
      </x:c>
      <x:c r="T36" s="33" t="str"/>
      <x:c r="U36" s="33" t="str"/>
      <x:c r="V36" s="33" t="str"/>
      <x:c r="W36" s="33" t="str"/>
    </x:row>
    <x:row r="37" ht="96" customHeight="1">
      <x:c r="A37" s="33" t="str">
        <x:v>Tenneco (Paragould)</x:v>
      </x:c>
      <x:c r="B37" s="33" t="str">
        <x:v>Paragould</x:v>
      </x:c>
      <x:c r="C37" s="33" t="str">
        <x:v>Shock absorbers and struts manufacturing</x:v>
      </x:c>
      <x:c r="D37" s="34" t="str">
        <x:v>P2</x:v>
      </x:c>
      <x:c r="E37" s="35" t="str"/>
      <x:c r="F37" s="36" t="str">
        <x:v>Listed in Greene County largest employers; no specific current local opening verified in the checked public jobs source.</x:v>
      </x:c>
      <x:c r="G37" s="36" t="str">
        <x:v>Production, machine operation, or maintenance only if a local vacancy or coverage need is confirmed.</x:v>
      </x:c>
      <x:c r="H37" s="36" t="str">
        <x:v>Listed in Greene County largest employers; no specific current local opening verified in the checked public jobs source.</x:v>
      </x:c>
      <x:c r="I37" s="36" t="str">
        <x:v>Industrial/distribution profile and local scale create a reason to ask; no present need has been verified.</x:v>
      </x:c>
      <x:c r="J37" s="33" t="str">
        <x:v>Plant HR / operations / contingent-labor or supplier manager</x:v>
      </x:c>
      <x:c r="K37" s="33" t="str">
        <x:v>870-239-8531</x:v>
      </x:c>
      <x:c r="L37" s="33" t="str">
        <x:v>1601 Highway 49B, Paragould, AR 72450</x:v>
      </x:c>
      <x:c r="M37" s="33" t="str">
        <x:v>Greene County employer band 1,100–1,300; not facility-specific.</x:v>
      </x:c>
      <x:c r="N37" s="33" t="str">
        <x:v>PDIR, PLARGE</x:v>
      </x:c>
      <x:c r="O37" s="36" t="str">
        <x:v>https://www.paragouldcityar.gov/343/Manufacturing-Directory
https://www.paragouldcityar.gov/338/Largest-Employers</x:v>
      </x:c>
      <x:c r="P37" s="36" t="str">
        <x:v>Large enterprise procurement and vendor qualification may make this a longer-cycle account; no temp use verified.</x:v>
      </x:c>
      <x:c r="Q37" s="36" t="str">
        <x:v>Does the Paragould site ever use outside staffing suppliers for temporary production or shift coverage, and are new local vendors accepted?</x:v>
      </x:c>
      <x:c r="R37" s="36" t="str">
        <x:v>Check whether local HR can direct her to contingent-labor procurement; do not start with broad candidate claims.</x:v>
      </x:c>
      <x:c r="S37" s="33" t="str">
        <x:v>Not contacted</x:v>
      </x:c>
      <x:c r="T37" s="33" t="str"/>
      <x:c r="U37" s="33" t="str"/>
      <x:c r="V37" s="33" t="str"/>
      <x:c r="W37" s="33" t="str"/>
    </x:row>
    <x:row r="38" ht="96" customHeight="1">
      <x:c r="A38" s="33" t="str">
        <x:v>Gerdau Corporation (Paragould)</x:v>
      </x:c>
      <x:c r="B38" s="33" t="str">
        <x:v>Paragould</x:v>
      </x:c>
      <x:c r="C38" s="33" t="str">
        <x:v>Railroad-spike manufacturing</x:v>
      </x:c>
      <x:c r="D38" s="34" t="str">
        <x:v>P2</x:v>
      </x:c>
      <x:c r="E38" s="35" t="str"/>
      <x:c r="F38" s="36" t="str">
        <x:v>Official Greene County manufacturing directory lists the operation; no current local vacancy independently verified.</x:v>
      </x:c>
      <x:c r="G38" s="36" t="str">
        <x:v>Production/industrial roles only if agency can satisfy specific safety, training, and role requirements.</x:v>
      </x:c>
      <x:c r="H38" s="36" t="str">
        <x:v>Official Greene County manufacturing directory lists the operation; no current local vacancy independently verified.</x:v>
      </x:c>
      <x:c r="I38" s="36" t="str">
        <x:v>Industrial/distribution profile and local scale create a reason to ask; no present need has been verified.</x:v>
      </x:c>
      <x:c r="J38" s="33" t="str">
        <x:v>Plant HR / operations / safety / procurement</x:v>
      </x:c>
      <x:c r="K38" s="33" t="str">
        <x:v>870-239-5010</x:v>
      </x:c>
      <x:c r="L38" s="33" t="str">
        <x:v>1301 Jones Road, Paragould, AR 72450</x:v>
      </x:c>
      <x:c r="M38" s="33" t="str">
        <x:v>Not published in cited sources.</x:v>
      </x:c>
      <x:c r="N38" s="33" t="str">
        <x:v>PDIR</x:v>
      </x:c>
      <x:c r="O38" s="36" t="str">
        <x:v>https://www.paragouldcityar.gov/343/Manufacturing-Directory</x:v>
      </x:c>
      <x:c r="P38" s="36" t="str">
        <x:v>No current vacancy or staffing-vendor evidence. Metal production safety and supplier requirements require screening.</x:v>
      </x:c>
      <x:c r="Q38" s="36" t="str">
        <x:v>Does your Paragould operation ever use temporary labor for production coverage, and what supplier and safety requirements should an agency meet?</x:v>
      </x:c>
      <x:c r="R38" s="36" t="str">
        <x:v>Ask whether agencies are accepted and who owns local supplier qualification.</x:v>
      </x:c>
      <x:c r="S38" s="33" t="str">
        <x:v>Not contacted</x:v>
      </x:c>
      <x:c r="T38" s="33" t="str"/>
      <x:c r="U38" s="33" t="str"/>
      <x:c r="V38" s="33" t="str"/>
      <x:c r="W38" s="33" t="str"/>
    </x:row>
    <x:row r="39" ht="96" customHeight="1">
      <x:c r="A39" s="33" t="str">
        <x:v>Axis Worldwide (Paragould)</x:v>
      </x:c>
      <x:c r="B39" s="33" t="str">
        <x:v>Paragould</x:v>
      </x:c>
      <x:c r="C39" s="33" t="str">
        <x:v>Axle manufacturing</x:v>
      </x:c>
      <x:c r="D39" s="34" t="str">
        <x:v>P2</x:v>
      </x:c>
      <x:c r="E39" s="35" t="str"/>
      <x:c r="F39" s="36" t="str">
        <x:v>Official Greene County directory lists Paragould manufacturing site; no current vacancy independently verified.</x:v>
      </x:c>
      <x:c r="G39" s="36" t="str">
        <x:v>Assembly and manufacturing support if site has a current volume or shift-coverage need.</x:v>
      </x:c>
      <x:c r="H39" s="36" t="str">
        <x:v>Official Greene County directory lists Paragould manufacturing site; no current vacancy independently verified.</x:v>
      </x:c>
      <x:c r="I39" s="36" t="str">
        <x:v>Industrial/distribution profile and local scale create a reason to ask; no present need has been verified.</x:v>
      </x:c>
      <x:c r="J39" s="33" t="str">
        <x:v>Plant HR / operations / vendor management</x:v>
      </x:c>
      <x:c r="K39" s="33" t="str">
        <x:v>870-215-4500</x:v>
      </x:c>
      <x:c r="L39" s="33" t="str">
        <x:v>705 Jones Road, Paragould, AR 72450</x:v>
      </x:c>
      <x:c r="M39" s="33" t="str">
        <x:v>Not published in cited sources.</x:v>
      </x:c>
      <x:c r="N39" s="33" t="str">
        <x:v>PDIR</x:v>
      </x:c>
      <x:c r="O39" s="36" t="str">
        <x:v>https://www.paragouldcityar.gov/343/Manufacturing-Directory</x:v>
      </x:c>
      <x:c r="P39" s="36" t="str">
        <x:v>Directory confirms industry and site only; current staffing need and agency use are unknown.</x:v>
      </x:c>
      <x:c r="Q39" s="36" t="str">
        <x:v>How does the Paragould operation handle temporary production coverage or volume increases, and do you accept staffing suppliers?</x:v>
      </x:c>
      <x:c r="R39" s="36" t="str">
        <x:v>Confirm current worksite, role/shift, vendor requirements and buying contact.</x:v>
      </x:c>
      <x:c r="S39" s="33" t="str">
        <x:v>Not contacted</x:v>
      </x:c>
      <x:c r="T39" s="33" t="str"/>
      <x:c r="U39" s="33" t="str"/>
      <x:c r="V39" s="33" t="str"/>
      <x:c r="W39" s="33" t="str"/>
    </x:row>
    <x:row r="40" ht="96" customHeight="1">
      <x:c r="A40" s="33" t="str">
        <x:v>Nidec Motor Corporation (Paragould)</x:v>
      </x:c>
      <x:c r="B40" s="33" t="str">
        <x:v>Paragould</x:v>
      </x:c>
      <x:c r="C40" s="33" t="str">
        <x:v>Appliance and automotive components manufacturing</x:v>
      </x:c>
      <x:c r="D40" s="34" t="str">
        <x:v>P2</x:v>
      </x:c>
      <x:c r="E40" s="35" t="str"/>
      <x:c r="F40" s="36" t="str">
        <x:v>Official Greene County directory lists Paragould operation; no current vacancy independently verified.</x:v>
      </x:c>
      <x:c r="G40" s="36" t="str">
        <x:v>Manufacturing/assembly or machine support if current local demand exists and agency skills match.</x:v>
      </x:c>
      <x:c r="H40" s="36" t="str">
        <x:v>Official Greene County directory lists Paragould operation; no current vacancy independently verified.</x:v>
      </x:c>
      <x:c r="I40" s="36" t="str">
        <x:v>Industrial/distribution profile and local scale create a reason to ask; no present need has been verified.</x:v>
      </x:c>
      <x:c r="J40" s="33" t="str">
        <x:v>Plant HR / operations / supplier management</x:v>
      </x:c>
      <x:c r="K40" s="33" t="str">
        <x:v>870-239-2171</x:v>
      </x:c>
      <x:c r="L40" s="33" t="str">
        <x:v>1000 South 2nd Avenue, Paragould, AR 72450</x:v>
      </x:c>
      <x:c r="M40" s="33" t="str">
        <x:v>Greene County employer band 100–200; not site-specific.</x:v>
      </x:c>
      <x:c r="N40" s="33" t="str">
        <x:v>PDIR, PLARGE</x:v>
      </x:c>
      <x:c r="O40" s="36" t="str">
        <x:v>https://www.paragouldcityar.gov/343/Manufacturing-Directory
https://www.paragouldcityar.gov/338/Largest-Employers</x:v>
      </x:c>
      <x:c r="P40" s="36" t="str">
        <x:v>No current local vacancy or agency usage evidence.</x:v>
      </x:c>
      <x:c r="Q40" s="36" t="str">
        <x:v>Does the Paragould site use outside staffing for temporary production or shift coverage, and what is the vendor approval path?</x:v>
      </x:c>
      <x:c r="R40" s="36" t="str">
        <x:v>Verify active demand and local decision maker before pursuing.</x:v>
      </x:c>
      <x:c r="S40" s="33" t="str">
        <x:v>Not contacted</x:v>
      </x:c>
      <x:c r="T40" s="33" t="str"/>
      <x:c r="U40" s="33" t="str"/>
      <x:c r="V40" s="33" t="str"/>
      <x:c r="W40" s="33" t="str"/>
    </x:row>
    <x:row r="41" ht="96" customHeight="1">
      <x:c r="A41" s="33" t="str">
        <x:v>Parker Trutec (Paragould)</x:v>
      </x:c>
      <x:c r="B41" s="33" t="str">
        <x:v>Paragould</x:v>
      </x:c>
      <x:c r="C41" s="33" t="str">
        <x:v>Thermochemical diffusion processing</x:v>
      </x:c>
      <x:c r="D41" s="34" t="str">
        <x:v>P2</x:v>
      </x:c>
      <x:c r="E41" s="35" t="str"/>
      <x:c r="F41" s="36" t="str">
        <x:v>Official Greene County directory lists Paragould operation; no current vacancy independently verified.</x:v>
      </x:c>
      <x:c r="G41" s="36" t="str">
        <x:v>Specialized production/processing roles only if required technical background and safety qualifications are within agency capability.</x:v>
      </x:c>
      <x:c r="H41" s="36" t="str">
        <x:v>Official Greene County directory lists Paragould operation; no current vacancy independently verified.</x:v>
      </x:c>
      <x:c r="I41" s="36" t="str">
        <x:v>Industrial/distribution profile and local scale create a reason to ask; no present need has been verified.</x:v>
      </x:c>
      <x:c r="J41" s="33" t="str">
        <x:v>Plant HR / operations / safety</x:v>
      </x:c>
      <x:c r="K41" s="33" t="str">
        <x:v>870-236-6920</x:v>
      </x:c>
      <x:c r="L41" s="33" t="str">
        <x:v>2609 N. 12th Avenue, Paragould, AR 72450</x:v>
      </x:c>
      <x:c r="M41" s="33" t="str">
        <x:v>Not published in cited sources.</x:v>
      </x:c>
      <x:c r="N41" s="33" t="str">
        <x:v>PDIR</x:v>
      </x:c>
      <x:c r="O41" s="36" t="str">
        <x:v>https://www.paragouldcityar.gov/343/Manufacturing-Directory</x:v>
      </x:c>
      <x:c r="P41" s="36" t="str">
        <x:v>Specialized process and hazard profile; no public hiring or staffing vendor signal.</x:v>
      </x:c>
      <x:c r="Q41" s="36" t="str">
        <x:v>Are there short-term production or coverage assignments at the Paragould site that you use staffing suppliers for, and what process experience is required?</x:v>
      </x:c>
      <x:c r="R41" s="36" t="str">
        <x:v>Ask about process-specific screening, training responsibilities, and vendor onboarding.</x:v>
      </x:c>
      <x:c r="S41" s="33" t="str">
        <x:v>Not contacted</x:v>
      </x:c>
      <x:c r="T41" s="33" t="str"/>
      <x:c r="U41" s="33" t="str"/>
      <x:c r="V41" s="33" t="str"/>
      <x:c r="W41" s="33" t="str"/>
    </x:row>
    <x:row r="42" ht="96" customHeight="1">
      <x:c r="A42" s="33" t="str">
        <x:v>Prairie Farms (Paragould)</x:v>
      </x:c>
      <x:c r="B42" s="33" t="str">
        <x:v>Paragould</x:v>
      </x:c>
      <x:c r="C42" s="33" t="str">
        <x:v>Dairy, juice, and ice-cream distribution</x:v>
      </x:c>
      <x:c r="D42" s="34" t="str">
        <x:v>P2</x:v>
      </x:c>
      <x:c r="E42" s="35" t="str"/>
      <x:c r="F42" s="36" t="str">
        <x:v>Official Greene County directory lists local distribution operation; no current vacancy independently verified.</x:v>
      </x:c>
      <x:c r="G42" s="36" t="str">
        <x:v>Warehouse, route-support, loading or order-fulfillment roles if local volume and license requirements align.</x:v>
      </x:c>
      <x:c r="H42" s="36" t="str">
        <x:v>Official Greene County directory lists local distribution operation; no current vacancy independently verified.</x:v>
      </x:c>
      <x:c r="I42" s="36" t="str">
        <x:v>Industrial/distribution profile and local scale create a reason to ask; no present need has been verified.</x:v>
      </x:c>
      <x:c r="J42" s="33" t="str">
        <x:v>Distribution-center manager / HR / route operations</x:v>
      </x:c>
      <x:c r="K42" s="33" t="str">
        <x:v>870-239-2143</x:v>
      </x:c>
      <x:c r="L42" s="33" t="str">
        <x:v>301 S. 2nd Avenue, Paragould, AR 72451</x:v>
      </x:c>
      <x:c r="M42" s="33" t="str">
        <x:v>Not published in cited sources.</x:v>
      </x:c>
      <x:c r="N42" s="33" t="str">
        <x:v>PDIR, JADV</x:v>
      </x:c>
      <x:c r="O42" s="36" t="str">
        <x:v>https://www.paragouldcityar.gov/343/Manufacturing-Directory
https://www.jonesborounlimited.com/key-industries/advanced-manufacturing</x:v>
      </x:c>
      <x:c r="P42" s="36" t="str">
        <x:v>Food handling, cold storage, driving requirements, and local supplier rules need verification.</x:v>
      </x:c>
      <x:c r="Q42" s="36" t="str">
        <x:v>Does the Paragould distribution operation use temporary help for warehouse or seasonal volume, and which roles require a license or food-safety training?</x:v>
      </x:c>
      <x:c r="R42" s="36" t="str">
        <x:v>Confirm shift, duties, temperature/PPE, driving requirements, and hiring decision maker.</x:v>
      </x:c>
      <x:c r="S42" s="33" t="str">
        <x:v>Not contacted</x:v>
      </x:c>
      <x:c r="T42" s="33" t="str"/>
      <x:c r="U42" s="33" t="str"/>
      <x:c r="V42" s="33" t="str"/>
      <x:c r="W42" s="33" t="str"/>
    </x:row>
    <x:row r="43" ht="96" customHeight="1">
      <x:c r="A43" s="33" t="str">
        <x:v>Smith Drug Company (Paragould)</x:v>
      </x:c>
      <x:c r="B43" s="33" t="str">
        <x:v>Paragould</x:v>
      </x:c>
      <x:c r="C43" s="33" t="str">
        <x:v>Pharmaceutical distribution</x:v>
      </x:c>
      <x:c r="D43" s="34" t="str">
        <x:v>P2</x:v>
      </x:c>
      <x:c r="E43" s="35" t="str"/>
      <x:c r="F43" s="36" t="str">
        <x:v>Official Greene County directory lists distribution operation; no current vacancy independently verified.</x:v>
      </x:c>
      <x:c r="G43" s="36" t="str">
        <x:v>Warehouse/order-fulfillment only if role requirements, screening, and regulated product handling can be met.</x:v>
      </x:c>
      <x:c r="H43" s="36" t="str">
        <x:v>Official Greene County directory lists distribution operation; no current vacancy independently verified.</x:v>
      </x:c>
      <x:c r="I43" s="36" t="str">
        <x:v>Industrial/distribution profile and local scale create a reason to ask; no present need has been verified.</x:v>
      </x:c>
      <x:c r="J43" s="33" t="str">
        <x:v>Distribution-center HR / operations / security / vendor management</x:v>
      </x:c>
      <x:c r="K43" s="33" t="str">
        <x:v>870-268-6100</x:v>
      </x:c>
      <x:c r="L43" s="33" t="str">
        <x:v>1104 Jones Road, Paragould, AR 72450</x:v>
      </x:c>
      <x:c r="M43" s="33" t="str">
        <x:v>Not published in cited sources.</x:v>
      </x:c>
      <x:c r="N43" s="33" t="str">
        <x:v>PDIR</x:v>
      </x:c>
      <x:c r="O43" s="36" t="str">
        <x:v>https://www.paragouldcityar.gov/343/Manufacturing-Directory</x:v>
      </x:c>
      <x:c r="P43" s="36" t="str">
        <x:v>Pharmaceutical distribution may have elevated access, background, and process controls; confirm before offering.</x:v>
      </x:c>
      <x:c r="Q43" s="36" t="str">
        <x:v>Are there temporary warehouse or order-fulfillment needs at the Paragould center, and what access, screening, and supplier standards apply?</x:v>
      </x:c>
      <x:c r="R43" s="36" t="str">
        <x:v>Verify client accepts staffing firms and understand facility access and audit requirements.</x:v>
      </x:c>
      <x:c r="S43" s="33" t="str">
        <x:v>Not contacted</x:v>
      </x:c>
      <x:c r="T43" s="33" t="str"/>
      <x:c r="U43" s="33" t="str"/>
      <x:c r="V43" s="33" t="str"/>
      <x:c r="W43" s="33" t="str"/>
    </x:row>
    <x:row r="44" ht="96" customHeight="1">
      <x:c r="A44" s="33" t="str">
        <x:v>Ranger Tool &amp; Die (Paragould)</x:v>
      </x:c>
      <x:c r="B44" s="33" t="str">
        <x:v>Paragould</x:v>
      </x:c>
      <x:c r="C44" s="33" t="str">
        <x:v>Precision machining and fabrication</x:v>
      </x:c>
      <x:c r="D44" s="34" t="str">
        <x:v>P2</x:v>
      </x:c>
      <x:c r="E44" s="35" t="str"/>
      <x:c r="F44" s="36" t="str">
        <x:v>Official Greene County directory lists Paragould operation; no current vacancy independently verified.</x:v>
      </x:c>
      <x:c r="G44" s="36" t="str">
        <x:v>Machining or fabrication roles only if the agency can recruit and assess the required shop skills.</x:v>
      </x:c>
      <x:c r="H44" s="36" t="str">
        <x:v>Official Greene County directory lists Paragould operation; no current vacancy independently verified.</x:v>
      </x:c>
      <x:c r="I44" s="36" t="str">
        <x:v>Industrial/distribution profile and local scale create a reason to ask; no present need has been verified.</x:v>
      </x:c>
      <x:c r="J44" s="33" t="str">
        <x:v>Owner / shop manager / HR</x:v>
      </x:c>
      <x:c r="K44" s="33" t="str">
        <x:v>870-239-9041</x:v>
      </x:c>
      <x:c r="L44" s="33" t="str">
        <x:v>1400 South 2nd Avenue, Paragould, AR 72450</x:v>
      </x:c>
      <x:c r="M44" s="33" t="str">
        <x:v>Not published in cited sources.</x:v>
      </x:c>
      <x:c r="N44" s="33" t="str">
        <x:v>PDIR</x:v>
      </x:c>
      <x:c r="O44" s="36" t="str">
        <x:v>https://www.paragouldcityar.gov/343/Manufacturing-Directory</x:v>
      </x:c>
      <x:c r="P44" s="36" t="str">
        <x:v>No public vacancy or agency-use evidence; confirm whether small-site hiring is direct only.</x:v>
      </x:c>
      <x:c r="Q44" s="36" t="str">
        <x:v>Do backlog or project changes ever lead you to use temporary machinists or fabricators, or is this a direct-hire-only shop?</x:v>
      </x:c>
      <x:c r="R44" s="36" t="str">
        <x:v>Confirm work test, skill expectations, assignment length, and buyer access.</x:v>
      </x:c>
      <x:c r="S44" s="33" t="str">
        <x:v>Not contacted</x:v>
      </x:c>
      <x:c r="T44" s="33" t="str"/>
      <x:c r="U44" s="33" t="str"/>
      <x:c r="V44" s="33" t="str"/>
      <x:c r="W44" s="33" t="str"/>
    </x:row>
    <x:row r="45" ht="96" customHeight="1">
      <x:c r="A45" s="33" t="str">
        <x:v>Smith Precision Machining (Paragould)</x:v>
      </x:c>
      <x:c r="B45" s="33" t="str">
        <x:v>Paragould</x:v>
      </x:c>
      <x:c r="C45" s="33" t="str">
        <x:v>Custom machining and fabrication</x:v>
      </x:c>
      <x:c r="D45" s="34" t="str">
        <x:v>P2</x:v>
      </x:c>
      <x:c r="E45" s="35" t="str"/>
      <x:c r="F45" s="36" t="str">
        <x:v>Official Greene County directory lists Paragould operation; no current vacancy independently verified.</x:v>
      </x:c>
      <x:c r="G45" s="36" t="str">
        <x:v>Machinists and fabrication support if agency skills screening matches actual shop requirements.</x:v>
      </x:c>
      <x:c r="H45" s="36" t="str">
        <x:v>Official Greene County directory lists Paragould operation; no current vacancy independently verified.</x:v>
      </x:c>
      <x:c r="I45" s="36" t="str">
        <x:v>Industrial/distribution profile and local scale create a reason to ask; no present need has been verified.</x:v>
      </x:c>
      <x:c r="J45" s="33" t="str">
        <x:v>Owner / shop manager / operations manager</x:v>
      </x:c>
      <x:c r="K45" s="33" t="str">
        <x:v>870-236-7300</x:v>
      </x:c>
      <x:c r="L45" s="33" t="str">
        <x:v>101 W. Monroe, Paragould, AR 72450</x:v>
      </x:c>
      <x:c r="M45" s="33" t="str">
        <x:v>Not published in cited sources.</x:v>
      </x:c>
      <x:c r="N45" s="33" t="str">
        <x:v>PDIR</x:v>
      </x:c>
      <x:c r="O45" s="36" t="str">
        <x:v>https://www.paragouldcityar.gov/343/Manufacturing-Directory</x:v>
      </x:c>
      <x:c r="P45" s="36" t="str">
        <x:v>No current local hiring or staffing vendor signal.</x:v>
      </x:c>
      <x:c r="Q45" s="36" t="str">
        <x:v>Are there production backlogs or absences where temporary machinists help, and what skills would you want tested before a referral?</x:v>
      </x:c>
      <x:c r="R45" s="36" t="str">
        <x:v>Ask if they consider agency placements and what work-sample test is used.</x:v>
      </x:c>
      <x:c r="S45" s="33" t="str">
        <x:v>Not contacted</x:v>
      </x:c>
      <x:c r="T45" s="33" t="str"/>
      <x:c r="U45" s="33" t="str"/>
      <x:c r="V45" s="33" t="str"/>
      <x:c r="W45" s="33" t="str"/>
    </x:row>
    <x:row r="46" ht="96" customHeight="1">
      <x:c r="A46" s="33" t="str">
        <x:v>The Steel Yard (Paragould)</x:v>
      </x:c>
      <x:c r="B46" s="33" t="str">
        <x:v>Paragould</x:v>
      </x:c>
      <x:c r="C46" s="33" t="str">
        <x:v>Metal fabrication</x:v>
      </x:c>
      <x:c r="D46" s="34" t="str">
        <x:v>P2</x:v>
      </x:c>
      <x:c r="E46" s="35" t="str"/>
      <x:c r="F46" s="36" t="str">
        <x:v>Official Greene County directory lists a fabrication business; no current vacancy independently verified.</x:v>
      </x:c>
      <x:c r="G46" s="36" t="str">
        <x:v>Fabrication/shop labor if project work or workload spikes create temporary need and safety qualifications align.</x:v>
      </x:c>
      <x:c r="H46" s="36" t="str">
        <x:v>Official Greene County directory lists a fabrication business; no current vacancy independently verified.</x:v>
      </x:c>
      <x:c r="I46" s="36" t="str">
        <x:v>Industrial/distribution profile and local scale create a reason to ask; no present need has been verified.</x:v>
      </x:c>
      <x:c r="J46" s="33" t="str">
        <x:v>Owner / shop manager / safety lead</x:v>
      </x:c>
      <x:c r="K46" s="33" t="str">
        <x:v>870-236-8534</x:v>
      </x:c>
      <x:c r="L46" s="33" t="str">
        <x:v>304 N. 35th Avenue, Paragould, AR 72450</x:v>
      </x:c>
      <x:c r="M46" s="33" t="str">
        <x:v>Not published in cited sources.</x:v>
      </x:c>
      <x:c r="N46" s="33" t="str">
        <x:v>PDIR</x:v>
      </x:c>
      <x:c r="O46" s="36" t="str">
        <x:v>https://www.paragouldcityar.gov/343/Manufacturing-Directory</x:v>
      </x:c>
      <x:c r="P46" s="36" t="str">
        <x:v>No current hiring or agency usage evidence; confirm scope and worksite safety.</x:v>
      </x:c>
      <x:c r="Q46" s="36" t="str">
        <x:v>Do you ever need short-term fabrication or shop coverage for a project backlog, and would a local staffing supplier be considered?</x:v>
      </x:c>
      <x:c r="R46" s="36" t="str">
        <x:v>Verify role, shift, physical requirements, safety controls and vendor route.</x:v>
      </x:c>
      <x:c r="S46" s="33" t="str">
        <x:v>Not contacted</x:v>
      </x:c>
      <x:c r="T46" s="33" t="str"/>
      <x:c r="U46" s="33" t="str"/>
      <x:c r="V46" s="33" t="str"/>
      <x:c r="W46" s="33" t="str"/>
    </x:row>
    <x:row r="47" ht="96" customHeight="1">
      <x:c r="A47" s="33" t="str">
        <x:v>Jenkins Lighting, LLC (Paragould)</x:v>
      </x:c>
      <x:c r="B47" s="33" t="str">
        <x:v>Paragould</x:v>
      </x:c>
      <x:c r="C47" s="33" t="str">
        <x:v>Lighting manufacturing</x:v>
      </x:c>
      <x:c r="D47" s="34" t="str">
        <x:v>P2</x:v>
      </x:c>
      <x:c r="E47" s="35" t="str"/>
      <x:c r="F47" s="36" t="str">
        <x:v>Official Greene County directory lists Paragould manufacturer; no current vacancy independently verified.</x:v>
      </x:c>
      <x:c r="G47" s="36" t="str">
        <x:v>Assembly/production support only if there is a current role and supplier channel.</x:v>
      </x:c>
      <x:c r="H47" s="36" t="str">
        <x:v>Official Greene County directory lists Paragould manufacturer; no current vacancy independently verified.</x:v>
      </x:c>
      <x:c r="I47" s="36" t="str">
        <x:v>Industrial/distribution profile and local scale create a reason to ask; no present need has been verified.</x:v>
      </x:c>
      <x:c r="J47" s="33" t="str">
        <x:v>Owner / plant manager / HR</x:v>
      </x:c>
      <x:c r="K47" s="33" t="str">
        <x:v>870-236-7181</x:v>
      </x:c>
      <x:c r="L47" s="33" t="str">
        <x:v>412 Unity Road, Paragould, AR 72450</x:v>
      </x:c>
      <x:c r="M47" s="33" t="str">
        <x:v>Not published in cited sources.</x:v>
      </x:c>
      <x:c r="N47" s="33" t="str">
        <x:v>PDIR</x:v>
      </x:c>
      <x:c r="O47" s="36" t="str">
        <x:v>https://www.paragouldcityar.gov/343/Manufacturing-Directory</x:v>
      </x:c>
      <x:c r="P47" s="36" t="str">
        <x:v>No current job or temp-labor signal.</x:v>
      </x:c>
      <x:c r="Q47" s="36" t="str">
        <x:v>Does the plant ever use temporary assembly or production support when orders rise, or do you handle all hiring directly?</x:v>
      </x:c>
      <x:c r="R47" s="36" t="str">
        <x:v>Confirm current role demand and whether external suppliers are considered.</x:v>
      </x:c>
      <x:c r="S47" s="33" t="str">
        <x:v>Not contacted</x:v>
      </x:c>
      <x:c r="T47" s="33" t="str"/>
      <x:c r="U47" s="33" t="str"/>
      <x:c r="V47" s="33" t="str"/>
      <x:c r="W47" s="33" t="str"/>
    </x:row>
    <x:row r="48" ht="96" customHeight="1">
      <x:c r="A48" s="33" t="str">
        <x:v>Corbitt Manufacturing Company (Paragould)</x:v>
      </x:c>
      <x:c r="B48" s="33" t="str">
        <x:v>Paragould</x:v>
      </x:c>
      <x:c r="C48" s="33" t="str">
        <x:v>Aluminum casting, machining, engineering and tooling</x:v>
      </x:c>
      <x:c r="D48" s="34" t="str">
        <x:v>P2</x:v>
      </x:c>
      <x:c r="E48" s="35" t="str"/>
      <x:c r="F48" s="36" t="str">
        <x:v>Official Greene County directory lists Paragould operation; no current vacancy independently verified.</x:v>
      </x:c>
      <x:c r="G48" s="36" t="str">
        <x:v>Casting, machining, or production roles only if agency can meet technical screening and high-hazard site requirements.</x:v>
      </x:c>
      <x:c r="H48" s="36" t="str">
        <x:v>Official Greene County directory lists Paragould operation; no current vacancy independently verified.</x:v>
      </x:c>
      <x:c r="I48" s="36" t="str">
        <x:v>Industrial/distribution profile and local scale create a reason to ask; no present need has been verified.</x:v>
      </x:c>
      <x:c r="J48" s="33" t="str">
        <x:v>Plant HR / operations / safety / procurement</x:v>
      </x:c>
      <x:c r="K48" s="33" t="str">
        <x:v>636-410-3500 (directory listing; verify local routing)</x:v>
      </x:c>
      <x:c r="L48" s="33" t="str">
        <x:v>1200 Jones Road, Paragould, AR 72450</x:v>
      </x:c>
      <x:c r="M48" s="33" t="str">
        <x:v>Not published in cited sources.</x:v>
      </x:c>
      <x:c r="N48" s="33" t="str">
        <x:v>PDIR</x:v>
      </x:c>
      <x:c r="O48" s="36" t="str">
        <x:v>https://www.paragouldcityar.gov/343/Manufacturing-Directory</x:v>
      </x:c>
      <x:c r="P48" s="36" t="str">
        <x:v>Phone appears to be a central/out-of-area number. Confirm local business/legal entity and safety/vendor requirements.</x:v>
      </x:c>
      <x:c r="Q48" s="36" t="str">
        <x:v>Does the Paragould operation use temporary suppliers for production or project coverage, and what safety and skill qualifications must be verified?</x:v>
      </x:c>
      <x:c r="R48" s="36" t="str">
        <x:v>Verify current local operation, correct contact routing, role need, hazards and supplier access.</x:v>
      </x:c>
      <x:c r="S48" s="33" t="str">
        <x:v>Not contacted</x:v>
      </x:c>
      <x:c r="T48" s="33" t="str"/>
      <x:c r="U48" s="33" t="str"/>
      <x:c r="V48" s="33" t="str"/>
      <x:c r="W48" s="33" t="str"/>
    </x:row>
    <x:row r="49" ht="96" customHeight="1">
      <x:c r="A49" s="33" t="str">
        <x:v>L.A. Darling Company (Paragould)</x:v>
      </x:c>
      <x:c r="B49" s="33" t="str">
        <x:v>Paragould</x:v>
      </x:c>
      <x:c r="C49" s="33" t="str">
        <x:v>Store fixture manufacturing</x:v>
      </x:c>
      <x:c r="D49" s="34" t="str">
        <x:v>P3</x:v>
      </x:c>
      <x:c r="E49" s="35" t="str"/>
      <x:c r="F49" s="36" t="str">
        <x:v>Paragould Jobs lists Director of Operations, Senior Accountant and Design Engineer; local directory confirms manufacturer.</x:v>
      </x:c>
      <x:c r="G49" s="36" t="str">
        <x:v>These are mostly professional/management roles, so treat as lower fit unless her agency covers professional or engineering search.</x:v>
      </x:c>
      <x:c r="H49" s="36" t="str">
        <x:v>Paragould Jobs lists Director of Operations, Senior Accountant and Design Engineer; local directory confirms manufacturer.</x:v>
      </x:c>
      <x:c r="I49" s="36" t="str">
        <x:v>Industrial/distribution profile and local scale create a reason to ask; no present need has been verified.</x:v>
      </x:c>
      <x:c r="J49" s="33" t="str">
        <x:v>HR / operations / corporate recruiting</x:v>
      </x:c>
      <x:c r="K49" s="33" t="str">
        <x:v>870-239-9564</x:v>
      </x:c>
      <x:c r="L49" s="33" t="str">
        <x:v>1401 Highway 49B, Paragould, AR 72450</x:v>
      </x:c>
      <x:c r="M49" s="33" t="str">
        <x:v>Greene County city page lists Darling Store Fixtures at 200–500; name/entity should be verified.</x:v>
      </x:c>
      <x:c r="N49" s="33" t="str">
        <x:v>PJOBS, PDIR, PLARGE</x:v>
      </x:c>
      <x:c r="O49" s="36" t="str">
        <x:v>https://www.paragouldcityar.gov/398/Paragould-Jobs
https://www.paragouldcityar.gov/343/Manufacturing-Directory
https://www.paragouldcityar.gov/338/Largest-Employers</x:v>
      </x:c>
      <x:c r="P49" s="36" t="str">
        <x:v>Current listed roles are not obvious hourly temporary-staffing assignments; do not prioritize without professional-search capability.</x:v>
      </x:c>
      <x:c r="Q49" s="36" t="str">
        <x:v>The local page shows engineering, accounting, and operations hiring. Do you use contract or temporary professional talent, or are those roles direct hire only?</x:v>
      </x:c>
      <x:c r="R49" s="36" t="str">
        <x:v>Only pursue if her capabilities include professional/technical recruitment and client allows agency sourcing.</x:v>
      </x:c>
      <x:c r="S49" s="33" t="str">
        <x:v>Not contacted</x:v>
      </x:c>
      <x:c r="T49" s="33" t="str"/>
      <x:c r="U49" s="33" t="str"/>
      <x:c r="V49" s="33" t="str"/>
      <x:c r="W49" s="33" t="str"/>
    </x:row>
    <x:row r="50" ht="96" customHeight="1">
      <x:c r="A50" s="33" t="str">
        <x:v>Lakeside Metal Specialties (Paragould)</x:v>
      </x:c>
      <x:c r="B50" s="33" t="str">
        <x:v>Paragould</x:v>
      </x:c>
      <x:c r="C50" s="33" t="str">
        <x:v>Metal specialties sourcing, distribution, and warehousing</x:v>
      </x:c>
      <x:c r="D50" s="34" t="str">
        <x:v>P3</x:v>
      </x:c>
      <x:c r="E50" s="35" t="str"/>
      <x:c r="F50" s="36" t="str">
        <x:v>Official Greene County directory lists distribution and warehousing; Paragould Jobs currently lists National Sales Manager only.</x:v>
      </x:c>
      <x:c r="G50" s="36" t="str">
        <x:v>Warehouse/fulfillment roles are a hypothesis, but the visible opening is sales management and does not establish warehouse demand.</x:v>
      </x:c>
      <x:c r="H50" s="36" t="str">
        <x:v>Official Greene County directory lists distribution and warehousing; Paragould Jobs currently lists National Sales Manager only.</x:v>
      </x:c>
      <x:c r="I50" s="36" t="str">
        <x:v>Industrial/distribution profile and local scale create a reason to ask; no present need has been verified.</x:v>
      </x:c>
      <x:c r="J50" s="33" t="str">
        <x:v>Distribution operations / HR / site manager</x:v>
      </x:c>
      <x:c r="K50" s="33" t="str">
        <x:v>870-586-0147</x:v>
      </x:c>
      <x:c r="L50" s="33" t="str">
        <x:v>6476 Highway 135 N, Paragould, AR 72450</x:v>
      </x:c>
      <x:c r="M50" s="33" t="str">
        <x:v>Not published in cited sources.</x:v>
      </x:c>
      <x:c r="N50" s="33" t="str">
        <x:v>PJOBS, PDIR</x:v>
      </x:c>
      <x:c r="O50" s="36" t="str">
        <x:v>https://www.paragouldcityar.gov/398/Paragould-Jobs
https://www.paragouldcityar.gov/343/Manufacturing-Directory</x:v>
      </x:c>
      <x:c r="P50" s="36" t="str">
        <x:v>Visible job listing is a National Sales Manager role. Warehouse staffing need is unverified.</x:v>
      </x:c>
      <x:c r="Q50" s="36" t="str">
        <x:v>Do the Paragould warehouse or distribution operations ever use temporary labor for seasonal volume, even though the public listing is for a sales position?</x:v>
      </x:c>
      <x:c r="R50" s="36" t="str">
        <x:v>Ask about warehouse-specific need, local supplier policy, and correct worksite.</x:v>
      </x:c>
      <x:c r="S50" s="33" t="str">
        <x:v>Not contacted</x:v>
      </x:c>
      <x:c r="T50" s="33" t="str"/>
      <x:c r="U50" s="33" t="str"/>
      <x:c r="V50" s="33" t="str"/>
      <x:c r="W50" s="33" t="str"/>
    </x:row>
    <x:row r="51" ht="96" customHeight="1">
      <x:c r="A51" s="33" t="str">
        <x:v>InnovAsian (Jonesboro)</x:v>
      </x:c>
      <x:c r="B51" s="33" t="str">
        <x:v>Jonesboro</x:v>
      </x:c>
      <x:c r="C51" s="33" t="str">
        <x:v>Frozen-food manufacturing</x:v>
      </x:c>
      <x:c r="D51" s="34" t="str">
        <x:v>P2</x:v>
      </x:c>
      <x:c r="E51" s="35" t="str"/>
      <x:c r="F51" s="36" t="str">
        <x:v>Jonesboro Unlimited reports a 2026 manufacturing announcement with 200 expected jobs; operational timeline/current hiring not verified.</x:v>
      </x:c>
      <x:c r="G51" s="36" t="str">
        <x:v>Ramp-up production, packaging, and warehouse roles could be relevant if the project is active and client uses staffing suppliers.</x:v>
      </x:c>
      <x:c r="H51" s="36" t="str">
        <x:v>Jonesboro Unlimited reports a 2026 manufacturing announcement with 200 expected jobs; operational timeline/current hiring not verified.</x:v>
      </x:c>
      <x:c r="I51" s="36" t="str">
        <x:v>Industrial/distribution profile and local scale create a reason to ask; no present need has been verified.</x:v>
      </x:c>
      <x:c r="J51" s="33" t="str">
        <x:v>Project workforce lead / HR / site operations / economic-development referral</x:v>
      </x:c>
      <x:c r="K51" s="33" t="str">
        <x:v>Not verified in cited sources.</x:v>
      </x:c>
      <x:c r="L51" s="33" t="str">
        <x:v>Jonesboro announcement; exact operating site not verified.</x:v>
      </x:c>
      <x:c r="M51" s="33" t="str">
        <x:v>2026 announcement: 200 jobs; not current employee count.</x:v>
      </x:c>
      <x:c r="N51" s="33" t="str">
        <x:v>JEMP, JADV</x:v>
      </x:c>
      <x:c r="O51" s="36" t="str">
        <x:v>https://www.jonesborounlimited.com/major-employers-existing-industries
https://www.jonesborounlimited.com/key-industries/advanced-manufacturing</x:v>
      </x:c>
      <x:c r="P51" s="36" t="str">
        <x:v>Announcement is not proof of completed facility, current hiring, or agency procurement. Verify project status first.</x:v>
      </x:c>
      <x:c r="Q51" s="36" t="str">
        <x:v>I saw the region’s 2026 announcement about your Jonesboro project. Has the local site moved into hiring or ramp-up, and are staffing suppliers part of your workforce plan?</x:v>
      </x:c>
      <x:c r="R51" s="36" t="str">
        <x:v>Verify project stage, site location, hiring timeline and supplier onboarding before outreach.</x:v>
      </x:c>
      <x:c r="S51" s="33" t="str">
        <x:v>Not contacted</x:v>
      </x:c>
      <x:c r="T51" s="33" t="str"/>
      <x:c r="U51" s="33" t="str"/>
      <x:c r="V51" s="33" t="str"/>
      <x:c r="W51" s="33" t="str"/>
    </x:row>
    <x:row r="52" ht="96" customHeight="1">
      <x:c r="A52" s="33" t="str">
        <x:v>SANY Nutrition Group (Jonesboro)</x:v>
      </x:c>
      <x:c r="B52" s="33" t="str">
        <x:v>Jonesboro</x:v>
      </x:c>
      <x:c r="C52" s="33" t="str">
        <x:v>Protein-snack manufacturing</x:v>
      </x:c>
      <x:c r="D52" s="34" t="str">
        <x:v>P2</x:v>
      </x:c>
      <x:c r="E52" s="35" t="str"/>
      <x:c r="F52" s="36" t="str">
        <x:v>Jonesboro Unlimited reports a 2026 announcement with 150 expected jobs; operating timeline/current hiring not verified.</x:v>
      </x:c>
      <x:c r="G52" s="36" t="str">
        <x:v>Potential production/packaging workforce ramp if project is active and agency can meet food-site requirements.</x:v>
      </x:c>
      <x:c r="H52" s="36" t="str">
        <x:v>Jonesboro Unlimited reports a 2026 announcement with 150 expected jobs; operating timeline/current hiring not verified.</x:v>
      </x:c>
      <x:c r="I52" s="36" t="str">
        <x:v>Industrial/distribution profile and local scale create a reason to ask; no present need has been verified.</x:v>
      </x:c>
      <x:c r="J52" s="33" t="str">
        <x:v>Project HR / site operations / workforce-development contact</x:v>
      </x:c>
      <x:c r="K52" s="33" t="str">
        <x:v>Not verified in cited sources.</x:v>
      </x:c>
      <x:c r="L52" s="33" t="str">
        <x:v>Jonesboro announcement; exact operating site not verified.</x:v>
      </x:c>
      <x:c r="M52" s="33" t="str">
        <x:v>2026 announcement: 150 jobs; not current employee count.</x:v>
      </x:c>
      <x:c r="N52" s="33" t="str">
        <x:v>JEMP, JADV</x:v>
      </x:c>
      <x:c r="O52" s="36" t="str">
        <x:v>https://www.jonesborounlimited.com/major-employers-existing-industries
https://www.jonesborounlimited.com/key-industries/advanced-manufacturing</x:v>
      </x:c>
      <x:c r="P52" s="36" t="str">
        <x:v>Announcement alone does not prove current hiring or staffing-agency use. Verify facility and timeline.</x:v>
      </x:c>
      <x:c r="Q52" s="36" t="str">
        <x:v>Has the announced Jonesboro operation started hiring or planning production staffing, and are local agency partners being considered?</x:v>
      </x:c>
      <x:c r="R52" s="36" t="str">
        <x:v>Confirm site status and approved supplier route.</x:v>
      </x:c>
      <x:c r="S52" s="33" t="str">
        <x:v>Not contacted</x:v>
      </x:c>
      <x:c r="T52" s="33" t="str"/>
      <x:c r="U52" s="33" t="str"/>
      <x:c r="V52" s="33" t="str"/>
      <x:c r="W52" s="33" t="str"/>
    </x:row>
    <x:row r="53" ht="96" customHeight="1">
      <x:c r="A53" s="33" t="str">
        <x:v>Colson Group (Jonesboro area)</x:v>
      </x:c>
      <x:c r="B53" s="33" t="str">
        <x:v>Jonesboro area</x:v>
      </x:c>
      <x:c r="C53" s="33" t="str">
        <x:v>Caster manufacturing</x:v>
      </x:c>
      <x:c r="D53" s="34" t="str">
        <x:v>P2</x:v>
      </x:c>
      <x:c r="E53" s="35" t="str"/>
      <x:c r="F53" s="36" t="str">
        <x:v>Jonesboro MSA guide reports approximately 130 employees; no current vacancy verified.</x:v>
      </x:c>
      <x:c r="G53" s="36" t="str">
        <x:v>Manufacturing/assembly roles if current local need and site supplier path are confirmed.</x:v>
      </x:c>
      <x:c r="H53" s="36" t="str">
        <x:v>Jonesboro MSA guide reports approximately 130 employees; no current vacancy verified.</x:v>
      </x:c>
      <x:c r="I53" s="36" t="str">
        <x:v>Industrial/distribution profile and local scale create a reason to ask; no present need has been verified.</x:v>
      </x:c>
      <x:c r="J53" s="33" t="str">
        <x:v>Plant HR / operations / procurement</x:v>
      </x:c>
      <x:c r="K53" s="33" t="str">
        <x:v>Not verified in cited sources.</x:v>
      </x:c>
      <x:c r="L53" s="33" t="str">
        <x:v>Jonesboro MSA; exact site not verified.</x:v>
      </x:c>
      <x:c r="M53" s="33" t="str">
        <x:v>130 in Jonesboro MSA guide.</x:v>
      </x:c>
      <x:c r="N53" s="33" t="str">
        <x:v>JEMP</x:v>
      </x:c>
      <x:c r="O53" s="36" t="str">
        <x:v>https://www.jonesborounlimited.com/major-employers-existing-industries</x:v>
      </x:c>
      <x:c r="P53" s="36" t="str">
        <x:v>No current job or agency use evidence.</x:v>
      </x:c>
      <x:c r="Q53" s="36" t="str">
        <x:v>Does your local plant use temporary help for production coverage, and is a new staffing vendor an option?</x:v>
      </x:c>
      <x:c r="R53" s="36" t="str">
        <x:v>Verify location, current hiring, and supplier qualification path.</x:v>
      </x:c>
      <x:c r="S53" s="33" t="str">
        <x:v>Not contacted</x:v>
      </x:c>
      <x:c r="T53" s="33" t="str"/>
      <x:c r="U53" s="33" t="str"/>
      <x:c r="V53" s="33" t="str"/>
      <x:c r="W53" s="33" t="str"/>
    </x:row>
    <x:row r="54" ht="96" customHeight="1">
      <x:c r="A54" s="33" t="str">
        <x:v>Colson Monette (Jonesboro area)</x:v>
      </x:c>
      <x:c r="B54" s="33" t="str">
        <x:v>Jonesboro area</x:v>
      </x:c>
      <x:c r="C54" s="33" t="str">
        <x:v>Rubber and plastic molding</x:v>
      </x:c>
      <x:c r="D54" s="34" t="str">
        <x:v>P2</x:v>
      </x:c>
      <x:c r="E54" s="35" t="str"/>
      <x:c r="F54" s="36" t="str">
        <x:v>Jonesboro MSA guide reports approximately 50 employees; no current vacancy verified.</x:v>
      </x:c>
      <x:c r="G54" s="36" t="str">
        <x:v>Production/operator support if current shift coverage or volume need is confirmed.</x:v>
      </x:c>
      <x:c r="H54" s="36" t="str">
        <x:v>Jonesboro MSA guide reports approximately 50 employees; no current vacancy verified.</x:v>
      </x:c>
      <x:c r="I54" s="36" t="str">
        <x:v>Industrial/distribution profile and local scale create a reason to ask; no present need has been verified.</x:v>
      </x:c>
      <x:c r="J54" s="33" t="str">
        <x:v>Plant manager / HR / operations</x:v>
      </x:c>
      <x:c r="K54" s="33" t="str">
        <x:v>Not verified in cited sources.</x:v>
      </x:c>
      <x:c r="L54" s="33" t="str">
        <x:v>Jonesboro MSA; exact site not verified.</x:v>
      </x:c>
      <x:c r="M54" s="33" t="str">
        <x:v>50 in Jonesboro MSA guide.</x:v>
      </x:c>
      <x:c r="N54" s="33" t="str">
        <x:v>JEMP</x:v>
      </x:c>
      <x:c r="O54" s="36" t="str">
        <x:v>https://www.jonesborounlimited.com/major-employers-existing-industries</x:v>
      </x:c>
      <x:c r="P54" s="36" t="str">
        <x:v>No public hiring or staffing-vendor evidence.</x:v>
      </x:c>
      <x:c r="Q54" s="36" t="str">
        <x:v>Do production peaks or absences ever create temporary operator needs, or is the work filled through direct hiring?</x:v>
      </x:c>
      <x:c r="R54" s="36" t="str">
        <x:v>Confirm local worksite and agency acceptance.</x:v>
      </x:c>
      <x:c r="S54" s="33" t="str">
        <x:v>Not contacted</x:v>
      </x:c>
      <x:c r="T54" s="33" t="str"/>
      <x:c r="U54" s="33" t="str"/>
      <x:c r="V54" s="33" t="str"/>
      <x:c r="W54" s="33" t="str"/>
    </x:row>
    <x:row r="55" ht="96" customHeight="1">
      <x:c r="A55" s="33" t="str">
        <x:v>Crane Composites (Jonesboro area)</x:v>
      </x:c>
      <x:c r="B55" s="33" t="str">
        <x:v>Jonesboro area</x:v>
      </x:c>
      <x:c r="C55" s="33" t="str">
        <x:v>Fiberglass panels manufacturing</x:v>
      </x:c>
      <x:c r="D55" s="34" t="str">
        <x:v>P2</x:v>
      </x:c>
      <x:c r="E55" s="35" t="str"/>
      <x:c r="F55" s="36" t="str">
        <x:v>Jonesboro MSA guide reports approximately 110 employees; no current vacancy verified.</x:v>
      </x:c>
      <x:c r="G55" s="36" t="str">
        <x:v>Production/finishing roles only if site hazards, PPE and screening needs match agency process.</x:v>
      </x:c>
      <x:c r="H55" s="36" t="str">
        <x:v>Jonesboro MSA guide reports approximately 110 employees; no current vacancy verified.</x:v>
      </x:c>
      <x:c r="I55" s="36" t="str">
        <x:v>Industrial/distribution profile and local scale create a reason to ask; no present need has been verified.</x:v>
      </x:c>
      <x:c r="J55" s="33" t="str">
        <x:v>Plant HR / operations / safety</x:v>
      </x:c>
      <x:c r="K55" s="33" t="str">
        <x:v>Not verified in cited sources.</x:v>
      </x:c>
      <x:c r="L55" s="33" t="str">
        <x:v>Jonesboro MSA; exact site not verified.</x:v>
      </x:c>
      <x:c r="M55" s="33" t="str">
        <x:v>110 in Jonesboro MSA guide.</x:v>
      </x:c>
      <x:c r="N55" s="33" t="str">
        <x:v>JEMP</x:v>
      </x:c>
      <x:c r="O55" s="36" t="str">
        <x:v>https://www.jonesborounlimited.com/major-employers-existing-industries</x:v>
      </x:c>
      <x:c r="P55" s="36" t="str">
        <x:v>No evidence of current hiring or temp use; verify chemical/fiberglass exposure controls with client.</x:v>
      </x:c>
      <x:c r="Q55" s="36" t="str">
        <x:v>Does the operation use temporary production staff, and what training and protective equipment must be arranged before a shift?</x:v>
      </x:c>
      <x:c r="R55" s="36" t="str">
        <x:v>Review hazards and training responsibility before marketing fit.</x:v>
      </x:c>
      <x:c r="S55" s="33" t="str">
        <x:v>Not contacted</x:v>
      </x:c>
      <x:c r="T55" s="33" t="str"/>
      <x:c r="U55" s="33" t="str"/>
      <x:c r="V55" s="33" t="str"/>
      <x:c r="W55" s="33" t="str"/>
    </x:row>
    <x:row r="56" ht="96" customHeight="1">
      <x:c r="A56" s="33" t="str">
        <x:v>Apex Tool Group (Jonesboro area)</x:v>
      </x:c>
      <x:c r="B56" s="33" t="str">
        <x:v>Jonesboro area</x:v>
      </x:c>
      <x:c r="C56" s="33" t="str">
        <x:v>Tool boxes and fuel tanks manufacturing</x:v>
      </x:c>
      <x:c r="D56" s="34" t="str">
        <x:v>P2</x:v>
      </x:c>
      <x:c r="E56" s="35" t="str"/>
      <x:c r="F56" s="36" t="str">
        <x:v>Jonesboro MSA guide reports approximately 120 employees; no current local vacancy verified.</x:v>
      </x:c>
      <x:c r="G56" s="36" t="str">
        <x:v>Assembly, fabrication or warehouse roles if current needs and supplier route are confirmed.</x:v>
      </x:c>
      <x:c r="H56" s="36" t="str">
        <x:v>Jonesboro MSA guide reports approximately 120 employees; no current local vacancy verified.</x:v>
      </x:c>
      <x:c r="I56" s="36" t="str">
        <x:v>Industrial/distribution profile and local scale create a reason to ask; no present need has been verified.</x:v>
      </x:c>
      <x:c r="J56" s="33" t="str">
        <x:v>Plant HR / operations / procurement</x:v>
      </x:c>
      <x:c r="K56" s="33" t="str">
        <x:v>Not verified in cited sources.</x:v>
      </x:c>
      <x:c r="L56" s="33" t="str">
        <x:v>Jonesboro MSA; exact facility not verified.</x:v>
      </x:c>
      <x:c r="M56" s="33" t="str">
        <x:v>120 in Jonesboro MSA guide.</x:v>
      </x:c>
      <x:c r="N56" s="33" t="str">
        <x:v>JEMP</x:v>
      </x:c>
      <x:c r="O56" s="36" t="str">
        <x:v>https://www.jonesborounlimited.com/major-employers-existing-industries</x:v>
      </x:c>
      <x:c r="P56" s="36" t="str">
        <x:v>No current job or temp-use evidence.</x:v>
      </x:c>
      <x:c r="Q56" s="36" t="str">
        <x:v>Does your local operation use agency labor for temporary production or shipping coverage, and are new vendors considered?</x:v>
      </x:c>
      <x:c r="R56" s="36" t="str">
        <x:v>Confirm exact local site, buyer and open role family.</x:v>
      </x:c>
      <x:c r="S56" s="33" t="str">
        <x:v>Not contacted</x:v>
      </x:c>
      <x:c r="T56" s="33" t="str"/>
      <x:c r="U56" s="33" t="str"/>
      <x:c r="V56" s="33" t="str"/>
      <x:c r="W56" s="33" t="str"/>
    </x:row>
    <x:row r="57" ht="96" customHeight="1">
      <x:c r="A57" s="33" t="str">
        <x:v>Ditta Door &amp; Hardware (Jonesboro area)</x:v>
      </x:c>
      <x:c r="B57" s="33" t="str">
        <x:v>Jonesboro area</x:v>
      </x:c>
      <x:c r="C57" s="33" t="str">
        <x:v>Door, hardware and specialty product manufacturing/distribution</x:v>
      </x:c>
      <x:c r="D57" s="34" t="str">
        <x:v>P2</x:v>
      </x:c>
      <x:c r="E57" s="35" t="str"/>
      <x:c r="F57" s="36" t="str">
        <x:v>Jonesboro MSA guide reports approximately 100 employees; no current local vacancy verified.</x:v>
      </x:c>
      <x:c r="G57" s="36" t="str">
        <x:v>Warehouse, fabrication or order fulfillment if actual need and role requirements fit.</x:v>
      </x:c>
      <x:c r="H57" s="36" t="str">
        <x:v>Jonesboro MSA guide reports approximately 100 employees; no current local vacancy verified.</x:v>
      </x:c>
      <x:c r="I57" s="36" t="str">
        <x:v>Industrial/distribution profile and local scale create a reason to ask; no present need has been verified.</x:v>
      </x:c>
      <x:c r="J57" s="33" t="str">
        <x:v>Branch/plant manager / HR / operations</x:v>
      </x:c>
      <x:c r="K57" s="33" t="str">
        <x:v>Not verified in cited sources.</x:v>
      </x:c>
      <x:c r="L57" s="33" t="str">
        <x:v>Jonesboro MSA; exact address not verified.</x:v>
      </x:c>
      <x:c r="M57" s="33" t="str">
        <x:v>100 in Jonesboro MSA guide.</x:v>
      </x:c>
      <x:c r="N57" s="33" t="str">
        <x:v>JEMP</x:v>
      </x:c>
      <x:c r="O57" s="36" t="str">
        <x:v>https://www.jonesborounlimited.com/major-employers-existing-industries</x:v>
      </x:c>
      <x:c r="P57" s="36" t="str">
        <x:v>No active hiring or staffing supplier signal; exact operation and role must be verified.</x:v>
      </x:c>
      <x:c r="Q57" s="36" t="str">
        <x:v>Do order cycles or project spikes create temporary warehouse or fabrication needs, and would you consider a local staffing partner?</x:v>
      </x:c>
      <x:c r="R57" s="36" t="str">
        <x:v>Ask about worksite, job duties, schedule and supplier acceptance.</x:v>
      </x:c>
      <x:c r="S57" s="33" t="str">
        <x:v>Not contacted</x:v>
      </x:c>
      <x:c r="T57" s="33" t="str"/>
      <x:c r="U57" s="33" t="str"/>
      <x:c r="V57" s="33" t="str"/>
      <x:c r="W57" s="33" t="str"/>
    </x:row>
    <x:row r="58" ht="96" customHeight="1">
      <x:c r="A58" s="33" t="str">
        <x:v>SMA (Jonesboro area)</x:v>
      </x:c>
      <x:c r="B58" s="33" t="str">
        <x:v>Jonesboro area</x:v>
      </x:c>
      <x:c r="C58" s="33" t="str">
        <x:v>Farm equipment distribution</x:v>
      </x:c>
      <x:c r="D58" s="34" t="str">
        <x:v>P2</x:v>
      </x:c>
      <x:c r="E58" s="35" t="str"/>
      <x:c r="F58" s="36" t="str">
        <x:v>Jonesboro MSA guide reports approximately 150 employees; no current vacancy verified.</x:v>
      </x:c>
      <x:c r="G58" s="36" t="str">
        <x:v>Warehouse, inventory or seasonal receiving support if the role and equipment requirements align.</x:v>
      </x:c>
      <x:c r="H58" s="36" t="str">
        <x:v>Jonesboro MSA guide reports approximately 150 employees; no current vacancy verified.</x:v>
      </x:c>
      <x:c r="I58" s="36" t="str">
        <x:v>Industrial/distribution profile and local scale create a reason to ask; no present need has been verified.</x:v>
      </x:c>
      <x:c r="J58" s="33" t="str">
        <x:v>Distribution manager / HR / operations</x:v>
      </x:c>
      <x:c r="K58" s="33" t="str">
        <x:v>Not verified in cited sources.</x:v>
      </x:c>
      <x:c r="L58" s="33" t="str">
        <x:v>Jonesboro MSA; exact address not verified.</x:v>
      </x:c>
      <x:c r="M58" s="33" t="str">
        <x:v>150 in Jonesboro MSA guide.</x:v>
      </x:c>
      <x:c r="N58" s="33" t="str">
        <x:v>JEMP</x:v>
      </x:c>
      <x:c r="O58" s="36" t="str">
        <x:v>https://www.jonesborounlimited.com/major-employers-existing-industries</x:v>
      </x:c>
      <x:c r="P58" s="36" t="str">
        <x:v>No current job or agency-use evidence.</x:v>
      </x:c>
      <x:c r="Q58" s="36" t="str">
        <x:v>Does seasonal demand or inventory activity create temporary warehouse needs, and what equipment or product-handling qualifications apply?</x:v>
      </x:c>
      <x:c r="R58" s="36" t="str">
        <x:v>Confirm local site and contingent staffing process.</x:v>
      </x:c>
      <x:c r="S58" s="33" t="str">
        <x:v>Not contacted</x:v>
      </x:c>
      <x:c r="T58" s="33" t="str"/>
      <x:c r="U58" s="33" t="str"/>
      <x:c r="V58" s="33" t="str"/>
      <x:c r="W58" s="33" t="str"/>
    </x:row>
  </x:sheetData>
  <x:dataValidations count="2">
    <x:dataValidation type="list" sqref="S2:S58">
      <x:formula1>"Not contacted,Attempted,Connected,Qualified,Disqualified,Nurture,Proposal,Won,Lost"</x:formula1>
    </x:dataValidation>
    <x:dataValidation type="list" sqref="V2:V58">
      <x:formula1>"Unknown,Yes,No,Needs verification"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b9ef38462e45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22" hidden="0" customWidth="1"/>
    <x:col min="3" max="3" width="58" hidden="0" customWidth="1"/>
    <x:col min="4" max="4" width="15" hidden="0" customWidth="1"/>
    <x:col min="5" max="5" width="15" hidden="0" customWidth="1"/>
    <x:col min="6" max="6" width="15" hidden="0" customWidth="1"/>
  </x:cols>
  <x:sheetData>
    <x:row r="1">
      <x:c r="A1" s="37" t="str">
        <x:v>Staffing Bill-Rate and Payroll-Cash Worksheet</x:v>
      </x:c>
      <x:c r="B1" s="37"/>
      <x:c r="C1" s="37"/>
      <x:c r="D1" s="37"/>
      <x:c r="E1" s="37"/>
      <x:c r="F1" s="37"/>
    </x:row>
    <x:row r="2">
      <x:c r="A2" s="39" t="str">
        <x:v>Enter agency-specific costs only after confirming payroll model, workers’ compensation, taxes, benefits and terms with qualified advisers. Blank inputs intentionally return blank outputs.</x:v>
      </x:c>
      <x:c r="B2" s="39"/>
      <x:c r="C2" s="39"/>
      <x:c r="D2" s="39"/>
      <x:c r="E2" s="39"/>
      <x:c r="F2" s="39"/>
    </x:row>
    <x:row r="4">
      <x:c r="A4" s="5" t="str">
        <x:v>Editable inputs</x:v>
      </x:c>
      <x:c r="B4" s="5" t="str">
        <x:v>Value</x:v>
      </x:c>
      <x:c r="C4" s="5" t="str">
        <x:v>Unit / definition</x:v>
      </x:c>
    </x:row>
    <x:row r="5">
      <x:c r="A5" s="8" t="str">
        <x:v>Worker straight-time wage</x:v>
      </x:c>
      <x:c r="B5" s="41" t="str"/>
      <x:c r="C5" s="8" t="str">
        <x:v>$/paid hour</x:v>
      </x:c>
    </x:row>
    <x:row r="6">
      <x:c r="A6" s="8" t="str">
        <x:v>Employer payroll tax / unemployment burden</x:v>
      </x:c>
      <x:c r="B6" s="41" t="str"/>
      <x:c r="C6" s="8" t="str">
        <x:v>$/paid hour (enter a converted hourly cost)</x:v>
      </x:c>
    </x:row>
    <x:row r="7">
      <x:c r="A7" s="8" t="str">
        <x:v>Workers’ compensation cost</x:v>
      </x:c>
      <x:c r="B7" s="41" t="str"/>
      <x:c r="C7" s="8" t="str">
        <x:v>$/paid hour (use actual classification/quote)</x:v>
      </x:c>
    </x:row>
    <x:row r="8">
      <x:c r="A8" s="8" t="str">
        <x:v>Benefits and other worker costs</x:v>
      </x:c>
      <x:c r="B8" s="41" t="str"/>
      <x:c r="C8" s="8" t="str">
        <x:v>$/paid hour</x:v>
      </x:c>
    </x:row>
    <x:row r="9">
      <x:c r="A9" s="8" t="str">
        <x:v>Recruiting, screening and admin cost</x:v>
      </x:c>
      <x:c r="B9" s="41" t="str"/>
      <x:c r="C9" s="8" t="str">
        <x:v>$/paid hour</x:v>
      </x:c>
    </x:row>
    <x:row r="10">
      <x:c r="A10" s="8" t="str">
        <x:v>Other direct assignment cost</x:v>
      </x:c>
      <x:c r="B10" s="41" t="str"/>
      <x:c r="C10" s="8" t="str">
        <x:v>$/paid hour</x:v>
      </x:c>
    </x:row>
    <x:row r="11">
      <x:c r="A11" s="8" t="str">
        <x:v>Target gross margin</x:v>
      </x:c>
      <x:c r="B11" s="42" t="str"/>
      <x:c r="C11" s="8" t="str">
        <x:v>Enter as decimal (e.g., 0.25); no default assumed</x:v>
      </x:c>
    </x:row>
    <x:row r="12">
      <x:c r="A12" s="8" t="str">
        <x:v>Headcount / workers</x:v>
      </x:c>
      <x:c r="B12" s="43" t="str"/>
      <x:c r="C12" s="8" t="str">
        <x:v>workers</x:v>
      </x:c>
    </x:row>
    <x:row r="13">
      <x:c r="A13" s="8" t="str">
        <x:v>Scheduled paid hours per worker per week</x:v>
      </x:c>
      <x:c r="B13" s="43" t="str"/>
      <x:c r="C13" s="8" t="str">
        <x:v>hours/week</x:v>
      </x:c>
    </x:row>
    <x:row r="14">
      <x:c r="A14" s="8" t="str">
        <x:v>Expected client payment delay</x:v>
      </x:c>
      <x:c r="B14" s="44" t="str"/>
      <x:c r="C14" s="8" t="str">
        <x:v>days after payroll cash outflow</x:v>
      </x:c>
    </x:row>
    <x:row r="16">
      <x:c r="A16" s="5" t="str">
        <x:v>Calculated outputs</x:v>
      </x:c>
      <x:c r="B16" s="5" t="str">
        <x:v>Result</x:v>
      </x:c>
      <x:c r="C16" s="5" t="str">
        <x:v>Formula / explanation</x:v>
      </x:c>
    </x:row>
    <x:row r="17">
      <x:c r="A17" s="13" t="str">
        <x:v>Loaded direct cost per paid hour</x:v>
      </x:c>
      <x:c r="B17" s="49" t="str">
        <x:f>IF(COUNT(B5:B10)&lt;6,"",SUM(B5:B10))</x:f>
      </x:c>
      <x:c r="C17" s="13" t="str">
        <x:v>Sum of hourly inputs above</x:v>
      </x:c>
    </x:row>
    <x:row r="18">
      <x:c r="A18" s="13" t="str">
        <x:v>Minimum bill rate at target gross margin</x:v>
      </x:c>
      <x:c r="B18" s="49" t="str">
        <x:f>IF(OR(B17="",B11="",B11&lt;=0,B11&gt;=1),"",B17/(1-B11))</x:f>
      </x:c>
      <x:c r="C18" s="13" t="str">
        <x:v>Loaded direct cost ÷ (1 − target gross margin)</x:v>
      </x:c>
    </x:row>
    <x:row r="19">
      <x:c r="A19" s="13" t="str">
        <x:v>Gross profit per paid hour at target</x:v>
      </x:c>
      <x:c r="B19" s="49" t="str">
        <x:f>IF(OR(B17="",B18=""),"",B18-B17)</x:f>
      </x:c>
      <x:c r="C19" s="13" t="str">
        <x:v>Bill rate − loaded direct cost</x:v>
      </x:c>
    </x:row>
    <x:row r="20">
      <x:c r="A20" s="13" t="str">
        <x:v>Weekly gross profit at entered headcount/hours</x:v>
      </x:c>
      <x:c r="B20" s="49" t="str">
        <x:f>IF(OR(B19="",B12="",B13=""),"",B19*B12*B13)</x:f>
      </x:c>
      <x:c r="C20" s="13" t="str">
        <x:v>Gross profit/hour × workers × paid hours/week</x:v>
      </x:c>
    </x:row>
    <x:row r="21">
      <x:c r="A21" s="13" t="str">
        <x:v>Estimated payroll-cash bridge for payment delay</x:v>
      </x:c>
      <x:c r="B21" s="49" t="str">
        <x:f>IF(OR(COUNT(B5:B8)&lt;4,B12="",B13="",B14=""),"",SUM(B5:B8)*B12*B13*B14/7)</x:f>
      </x:c>
      <x:c r="C21" s="13" t="str">
        <x:v>Wage + per-hour payroll/benefit/worker costs × headcount × hours/week × delay days ÷ 7</x:v>
      </x:c>
    </x:row>
    <x:row r="23" ht="42" customHeight="1">
      <x:c r="A23" s="50" t="str">
        <x:v>Gross margin = (bill rate − loaded direct cost) ÷ bill rate. Markup and gross margin are different. The minimum rate calculation assumes the target is gross margin on billed revenue and the costs entered are per paid hour.</x:v>
      </x:c>
      <x:c r="B23" s="50"/>
      <x:c r="C23" s="50"/>
      <x:c r="D23" s="50"/>
      <x:c r="E23" s="50"/>
      <x:c r="F23" s="50"/>
    </x:row>
    <x:row r="24" ht="42" customHeight="1">
      <x:c r="A24" s="50" t="str">
        <x:v>The cash bridge is a simplified planning estimate. It omits timing detail such as overtime, payroll calendars, client terms, deposits, taxes, injury/claim costs, replacement guarantees, and bad debt. Review with payroll/accounting/insurance advisers.</x:v>
      </x:c>
      <x:c r="B24" s="50"/>
      <x:c r="C24" s="50"/>
      <x:c r="D24" s="50"/>
      <x:c r="E24" s="50"/>
      <x:c r="F24" s="50"/>
    </x:row>
    <x:row r="25" ht="42" customHeight="1">
      <x:c r="A25" s="50" t="str">
        <x:v>Do not quote a client from this blank template. First confirm the job order, lawful classification, employer-of-record model, wage, direct costs, overtime rules, insurance and customer payment terms.</x:v>
      </x:c>
      <x:c r="B25" s="50"/>
      <x:c r="C25" s="50"/>
      <x:c r="D25" s="50"/>
      <x:c r="E25" s="50"/>
      <x:c r="F25" s="50"/>
    </x:row>
  </x:sheetData>
  <x:mergeCells>
    <x:mergeCell ref="A1:F1"/>
    <x:mergeCell ref="A2:F2"/>
    <x:mergeCell ref="A23:F23"/>
    <x:mergeCell ref="A24:F24"/>
    <x:mergeCell ref="A25:F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47" hidden="0" customWidth="1"/>
    <x:col min="3" max="3" width="86" hidden="0" customWidth="1"/>
    <x:col min="4" max="4" width="83" hidden="0" customWidth="1"/>
    <x:col min="5" max="5" width="15" hidden="0" customWidth="1"/>
  </x:cols>
  <x:sheetData>
    <x:row r="1" ht="30" customHeight="1">
      <x:c r="A1" s="31" t="str">
        <x:v>Source ID</x:v>
      </x:c>
      <x:c r="B1" s="31" t="str">
        <x:v>Source title</x:v>
      </x:c>
      <x:c r="C1" s="31" t="str">
        <x:v>URL</x:v>
      </x:c>
      <x:c r="D1" s="31" t="str">
        <x:v>Research note / limitation</x:v>
      </x:c>
      <x:c r="E1" s="31" t="str">
        <x:v>Checked</x:v>
      </x:c>
    </x:row>
    <x:row r="2" ht="48" customHeight="1">
      <x:c r="A2" s="27" t="str">
        <x:v>PJOBS</x:v>
      </x:c>
      <x:c r="B2" s="27" t="str">
        <x:v>Paragould Jobs — local employer vacancies</x:v>
      </x:c>
      <x:c r="C2" s="27" t="str">
        <x:v>https://www.paragouldcityar.gov/398/Paragould-Jobs</x:v>
      </x:c>
      <x:c r="D2" s="27" t="str">
        <x:v>Official city/economic-development page; describes itself as regularly updated. Roles are shown as of the research check, not verified as still open with each employer.</x:v>
      </x:c>
      <x:c r="E2" s="27" t="str">
        <x:v>2026-10-12</x:v>
      </x:c>
    </x:row>
    <x:row r="3" ht="48" customHeight="1">
      <x:c r="A3" s="27" t="str">
        <x:v>PDIR</x:v>
      </x:c>
      <x:c r="B3" s="27" t="str">
        <x:v>Greene County Manufacturing Directory</x:v>
      </x:c>
      <x:c r="C3" s="27" t="str">
        <x:v>https://www.paragouldcityar.gov/343/Manufacturing-Directory</x:v>
      </x:c>
      <x:c r="D3" s="27" t="str">
        <x:v>Official directory listing business type, address and public main phone for many Paragould manufacturers/distributors.</x:v>
      </x:c>
      <x:c r="E3" s="27" t="str">
        <x:v>2026-10-12</x:v>
      </x:c>
    </x:row>
    <x:row r="4" ht="48" customHeight="1">
      <x:c r="A4" s="27" t="str">
        <x:v>PLARGE</x:v>
      </x:c>
      <x:c r="B4" s="27" t="str">
        <x:v>Paragould / Greene County Largest Employers</x:v>
      </x:c>
      <x:c r="C4" s="27" t="str">
        <x:v>https://www.paragouldcityar.gov/338/Largest-Employers</x:v>
      </x:c>
      <x:c r="D4" s="27" t="str">
        <x:v>Employer size bands for Greene County, not necessarily a single facility headcount.</x:v>
      </x:c>
      <x:c r="E4" s="27" t="str">
        <x:v>2026-10-12</x:v>
      </x:c>
    </x:row>
    <x:row r="5" ht="48" customHeight="1">
      <x:c r="A5" s="27" t="str">
        <x:v>JEMP</x:v>
      </x:c>
      <x:c r="B5" s="27" t="str">
        <x:v>Jonesboro MSA major employers and existing industries</x:v>
      </x:c>
      <x:c r="C5" s="27" t="str">
        <x:v>https://www.jonesborounlimited.com/major-employers-existing-industries</x:v>
      </x:c>
      <x:c r="D5" s="27" t="str">
        <x:v>Jonesboro Unlimited industry guide. Employment figures are regional guide figures, may not equal a specific facility or current payroll. Page includes 2026 manufacturing announcements.</x:v>
      </x:c>
      <x:c r="E5" s="27" t="str">
        <x:v>2026-10-12</x:v>
      </x:c>
    </x:row>
    <x:row r="6" ht="48" customHeight="1">
      <x:c r="A6" s="27" t="str">
        <x:v>JADV</x:v>
      </x:c>
      <x:c r="B6" s="27" t="str">
        <x:v>Jonesboro MSA advanced manufacturing workforce</x:v>
      </x:c>
      <x:c r="C6" s="27" t="str">
        <x:v>https://www.jonesborounlimited.com/key-industries/advanced-manufacturing</x:v>
      </x:c>
      <x:c r="D6" s="27" t="str">
        <x:v>Reports 10,000+ manufacturing/production workers and 2026 occupational wage anchors; context only, not evidence a named employer uses temps.</x:v>
      </x:c>
      <x:c r="E6" s="27" t="str">
        <x:v>2026-10-12</x:v>
      </x:c>
    </x:row>
    <x:row r="7" ht="48" customHeight="1">
      <x:c r="A7" s="27" t="str">
        <x:v>UNILEVER</x:v>
      </x:c>
      <x:c r="B7" s="27" t="str">
        <x:v>Unilever Jonesboro Machine Operator posting</x:v>
      </x:c>
      <x:c r="C7" s="27" t="str">
        <x:v>https://careers.unilever.com/en/job/jonesboro/machine-operator/34155/101379502736</x:v>
      </x:c>
      <x:c r="D7" s="27" t="str">
        <x:v>Employer-posted full-time direct-hire listing dated 2026-09-30 through 2026-10-15; listing says 2nd/3rd shifts and $26.70 base, with additional details. Recheck before use.</x:v>
      </x:c>
      <x:c r="E7" s="27" t="str">
        <x:v>2026-10-12</x:v>
      </x:c>
    </x:row>
    <x:row r="8" ht="48" customHeight="1">
      <x:c r="A8" s="27" t="str">
        <x:v>NESTLE</x:v>
      </x:c>
      <x:c r="B8" s="27" t="str">
        <x:v>Nestlé Jonesboro jobs and location</x:v>
      </x:c>
      <x:c r="C8" s="27" t="str">
        <x:v>https://www.nestlejobs.com/locations/jonesboro</x:v>
      </x:c>
      <x:c r="D8" s="27" t="str">
        <x:v>Employer page confirms local production facility and shows openings at research check; technical openings are not general labor evidence.</x:v>
      </x:c>
      <x:c r="E8" s="27" t="str">
        <x:v>2026-10-12</x:v>
      </x:c>
    </x:row>
    <x:row r="9" ht="48" customHeight="1">
      <x:c r="A9" s="27" t="str">
        <x:v>POST</x:v>
      </x:c>
      <x:c r="B9" s="27" t="str">
        <x:v>Post Consumer Brands Jonesboro role</x:v>
      </x:c>
      <x:c r="C9" s="27" t="str">
        <x:v>https://jobs.postholdings.com/postconsumerbrands-corporate/jobs/31104?lang=en-us</x:v>
      </x:c>
      <x:c r="D9" s="27" t="str">
        <x:v>Official job listing previously identified for a Quality and Food Safety Technician; live fetch was blocked in this run, so verify current status before mentioning.</x:v>
      </x:c>
      <x:c r="E9" s="27" t="str">
        <x:v>2026-10-12</x:v>
      </x:c>
    </x:row>
    <x:row r="10" ht="48" customHeight="1">
      <x:c r="A10" s="27" t="str">
        <x:v>FRITO</x:v>
      </x:c>
      <x:c r="B10" s="27" t="str">
        <x:v>Frito-Lay / PepsiCo Jonesboro job listing</x:v>
      </x:c>
      <x:c r="C10" s="27" t="str">
        <x:v>https://www.pepsicojobs.com/main/jobs/P1-7158051-1?lang=en-US</x:v>
      </x:c>
      <x:c r="D10" s="27" t="str">
        <x:v>Official job listing previously identified for General Utility Technician in Jonesboro; live fetch was blocked in this run, so verify current status before mentioning.</x:v>
      </x:c>
      <x:c r="E10" s="27" t="str">
        <x:v>2026-10-12</x:v>
      </x:c>
    </x:row>
    <x:row r="11" ht="48" customHeight="1">
      <x:c r="A11" s="27" t="str">
        <x:v>HYTROL</x:v>
      </x:c>
      <x:c r="B11" s="27" t="str">
        <x:v>Hytrol careers</x:v>
      </x:c>
      <x:c r="C11" s="27" t="str">
        <x:v>https://careers.hytrol.com/</x:v>
      </x:c>
      <x:c r="D11" s="27" t="str">
        <x:v>Company careers page; Jonesboro employment scale from regional industry guide. No specific current opening independently verified here.</x:v>
      </x:c>
      <x:c r="E11" s="27" t="str">
        <x:v>2026-10-12</x:v>
      </x:c>
    </x:row>
    <x:row r="12" ht="48" customHeight="1">
      <x:c r="A12" s="27" t="str">
        <x:v>GREATDANE</x:v>
      </x:c>
      <x:c r="B12" s="27" t="str">
        <x:v>Great Dane careers</x:v>
      </x:c>
      <x:c r="C12" s="27" t="str">
        <x:v>https://greatdane.com/careers/</x:v>
      </x:c>
      <x:c r="D12" s="27" t="str">
        <x:v>Company career page. Regional guide reports local-area employment; no specific live local opening verified here.</x:v>
      </x:c>
      <x:c r="E12" s="27" t="str">
        <x:v>2026-10-12</x:v>
      </x:c>
    </x:row>
    <x:row r="13" ht="48" customHeight="1">
      <x:c r="A13" s="27" t="str">
        <x:v>DELTA</x:v>
      </x:c>
      <x:c r="B13" s="27" t="str">
        <x:v>Arkansas Act 438 / SB278</x:v>
      </x:c>
      <x:c r="C13" s="27" t="str">
        <x:v>https://www.arkleg.state.ar.us/Bills/Detail?ddBienniumSession=2025/2025R&amp;id=SB278</x:v>
      </x:c>
      <x:c r="D13" s="27" t="str">
        <x:v>Official Arkansas legislative record: Act 438, effective 2025-04-03, repealed the Private Employment Agency Act and related occupational authorization/licensure statutes. Do not infer other duties are absent.</x:v>
      </x:c>
      <x:c r="E13" s="27" t="str">
        <x:v>2026-10-12</x:v>
      </x:c>
    </x:row>
    <x:row r="14" ht="48" customHeight="1">
      <x:c r="A14" s="27" t="str">
        <x:v>OSHA</x:v>
      </x:c>
      <x:c r="B14" s="27" t="str">
        <x:v>OSHA guidance on temporary workers</x:v>
      </x:c>
      <x:c r="C14" s="27" t="str">
        <x:v>https://www.osha.gov/temporaryworkers</x:v>
      </x:c>
      <x:c r="D14" s="27" t="str">
        <x:v>Agency and host employer have shared safety responsibilities; allocation depends on facts. Use as a contract/job-order intake prompt, not legal advice.</x:v>
      </x:c>
      <x:c r="E14" s="27" t="str">
        <x:v>2026-10-12</x:v>
      </x:c>
    </x:row>
    <x:row r="15" ht="48" customHeight="1">
      <x:c r="A15" s="27" t="str">
        <x:v>OSHA_COORD</x:v>
      </x:c>
      <x:c r="B15" s="27" t="str">
        <x:v>OSHA communication and coordination</x:v>
      </x:c>
      <x:c r="C15" s="27" t="str">
        <x:v>https://www.osha.gov/safety-management/communication</x:v>
      </x:c>
      <x:c r="D15" s="27" t="str">
        <x:v>OSHA recommends worksite coordination, role clarity, training and hazard communication.</x:v>
      </x:c>
      <x:c r="E15" s="27" t="str">
        <x:v>2026-10-12</x:v>
      </x:c>
    </x:row>
    <x:row r="16" ht="48" customHeight="1">
      <x:c r="A16" s="27" t="str">
        <x:v>DOL</x:v>
      </x:c>
      <x:c r="B16" s="27" t="str">
        <x:v>U.S. DOL FLSA joint employment advisor</x:v>
      </x:c>
      <x:c r="C16" s="27" t="str">
        <x:v>https://webapps.dol.gov/elaws/whd/flsa/docs/joint.asp</x:v>
      </x:c>
      <x:c r="D16" s="27" t="str">
        <x:v>Where joint employment exists, both employers must ensure FLSA rights. Case-specific; verify details with counsel/payroll professional.</x:v>
      </x:c>
      <x:c r="E16" s="27" t="str">
        <x:v>2026-10-12</x:v>
      </x:c>
    </x:row>
  </x:sheetData>
  <x:pageMargins left="0.7" right="0.7" top="0.75" bottom="0.75" header="0.3" footer="0.3"/>
  <x:tableParts count="1">
    <x:tablePart xmlns:r="http://schemas.openxmlformats.org/officeDocument/2006/relationships" r:id="R33c6a7c5062a45e0"/>
  </x:tableParts>
</x:worksheet>
</file>